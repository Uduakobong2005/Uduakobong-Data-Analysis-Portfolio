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A5925D24-DDE4-4F52-9CD0-2660EDD1C874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messy_sales_dataset_100_records" sheetId="1" r:id="rId1"/>
    <sheet name="Clean Data Analysis Project" sheetId="3" r:id="rId2"/>
    <sheet name="Data Analysis" sheetId="5" r:id="rId3"/>
    <sheet name="Total Sales By Product Category" sheetId="6" r:id="rId4"/>
    <sheet name="Total Sales By City" sheetId="7" r:id="rId5"/>
    <sheet name="Total Sales By Gender" sheetId="8" r:id="rId6"/>
    <sheet name="Charts" sheetId="10" r:id="rId7"/>
  </sheets>
  <definedNames>
    <definedName name="ExternalData_1" localSheetId="1" hidden="1">'Clean Data Analysis Project'!$A$1:$K$100</definedName>
  </definedNames>
  <calcPr calcId="191029"/>
  <pivotCaches>
    <pivotCache cacheId="0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2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O6" i="5"/>
  <c r="P2" i="5"/>
  <c r="O2" i="5"/>
  <c r="N100" i="5"/>
  <c r="N95" i="5"/>
  <c r="N69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6" i="5"/>
  <c r="N97" i="5"/>
  <c r="N98" i="5"/>
  <c r="N99" i="5"/>
  <c r="N2" i="5"/>
  <c r="M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31224B-CE3C-47A5-815E-66B2C0AF9C04}" keepAlive="1" name="Query - Clean Data Analysis Project" description="Connection to the 'Clean Data Analysis Project' query in the workbook." type="5" refreshedVersion="7" background="1" saveData="1">
    <dbPr connection="Provider=Microsoft.Mashup.OleDb.1;Data Source=$Workbook$;Location=&quot;Clean Data Analysis Project&quot;;Extended Properties=&quot;&quot;" command="SELECT * FROM [Clean Data Analysis Project]"/>
  </connection>
  <connection id="2" xr16:uid="{00000000-0015-0000-FFFF-FFFF00000000}" keepAlive="1" name="Query - Data analysis project" description="Connection to the 'Data analysis project' query in the workbook." type="5" refreshedVersion="0" background="1" saveData="1">
    <dbPr connection="Provider=Microsoft.Mashup.OleDb.1;Data Source=$Workbook$;Location=&quot;data analysis project&quot;;Extended Properties=&quot;&quot;" command="SELECT * FROM [Data analysis project]"/>
  </connection>
</connections>
</file>

<file path=xl/sharedStrings.xml><?xml version="1.0" encoding="utf-8"?>
<sst xmlns="http://schemas.openxmlformats.org/spreadsheetml/2006/main" count="1836" uniqueCount="61">
  <si>
    <t>OrderID</t>
  </si>
  <si>
    <t>OrderDate</t>
  </si>
  <si>
    <t>CustomerName</t>
  </si>
  <si>
    <t>Gender</t>
  </si>
  <si>
    <t>Product</t>
  </si>
  <si>
    <t>Category</t>
  </si>
  <si>
    <t>Quantity</t>
  </si>
  <si>
    <t>UnitPrice</t>
  </si>
  <si>
    <t>City</t>
  </si>
  <si>
    <t>Salesperson</t>
  </si>
  <si>
    <t>Peter Doe</t>
  </si>
  <si>
    <t>Female</t>
  </si>
  <si>
    <t>Printer</t>
  </si>
  <si>
    <t>Electronics</t>
  </si>
  <si>
    <t xml:space="preserve">Accra </t>
  </si>
  <si>
    <t>Emeka</t>
  </si>
  <si>
    <t>John Mensah</t>
  </si>
  <si>
    <t>Male</t>
  </si>
  <si>
    <t>Laptop</t>
  </si>
  <si>
    <t>Accra</t>
  </si>
  <si>
    <t>James Cole</t>
  </si>
  <si>
    <t>Mouse</t>
  </si>
  <si>
    <t xml:space="preserve"> kumasi</t>
  </si>
  <si>
    <t>Bob</t>
  </si>
  <si>
    <t>Kofi Asare</t>
  </si>
  <si>
    <t>Diana</t>
  </si>
  <si>
    <t>Abuja</t>
  </si>
  <si>
    <t>Alice</t>
  </si>
  <si>
    <t>Sarah Ann</t>
  </si>
  <si>
    <t>Notebook</t>
  </si>
  <si>
    <t>Stationery</t>
  </si>
  <si>
    <t xml:space="preserve"> mary boakye </t>
  </si>
  <si>
    <t>FEMALE</t>
  </si>
  <si>
    <t>Desk</t>
  </si>
  <si>
    <t>Furniture</t>
  </si>
  <si>
    <t>Lagos</t>
  </si>
  <si>
    <t>Grace Agyeman</t>
  </si>
  <si>
    <t>Charles</t>
  </si>
  <si>
    <t>Linda King</t>
  </si>
  <si>
    <t>male</t>
  </si>
  <si>
    <t>Lome</t>
  </si>
  <si>
    <t>David Smith</t>
  </si>
  <si>
    <t>Kumasi</t>
  </si>
  <si>
    <t>Ama Owusu</t>
  </si>
  <si>
    <t>Chair</t>
  </si>
  <si>
    <t>JOHN MENSAH</t>
  </si>
  <si>
    <t>15/3/2026</t>
  </si>
  <si>
    <t>Unknown</t>
  </si>
  <si>
    <t xml:space="preserve"> Kumasi</t>
  </si>
  <si>
    <t xml:space="preserve"> Mary Boakye </t>
  </si>
  <si>
    <t>TotalSales</t>
  </si>
  <si>
    <t>Total Sales</t>
  </si>
  <si>
    <t>Average Sales</t>
  </si>
  <si>
    <t>Max Sales</t>
  </si>
  <si>
    <t>Min Sales</t>
  </si>
  <si>
    <t>NO. of Transaction</t>
  </si>
  <si>
    <t>Row Labels</t>
  </si>
  <si>
    <t>Grand Total</t>
  </si>
  <si>
    <t>Sum of TotalSales</t>
  </si>
  <si>
    <t>Pereformance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</si>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</sst>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34" borderId="10" xfId="0" applyFill="1" applyBorder="1"/>
    <xf numFmtId="0" fontId="0" fillId="0" borderId="10" xfId="0" applyBorder="1"/>
    <xf numFmtId="164" fontId="0" fillId="0" borderId="0" xfId="42" applyNumberFormat="1" applyFont="1"/>
    <xf numFmtId="14" fontId="0" fillId="34" borderId="10" xfId="0" applyNumberFormat="1" applyFill="1" applyBorder="1"/>
    <xf numFmtId="14" fontId="0" fillId="0" borderId="10" xfId="0" applyNumberFormat="1" applyBorder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3" fillId="33" borderId="11" xfId="0" applyFont="1" applyFill="1" applyBorder="1"/>
    <xf numFmtId="0" fontId="0" fillId="34" borderId="12" xfId="0" applyFill="1" applyBorder="1"/>
    <xf numFmtId="14" fontId="0" fillId="34" borderId="12" xfId="0" applyNumberFormat="1" applyFill="1" applyBorder="1"/>
    <xf numFmtId="0" fontId="0" fillId="3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Project.xlsx]Total Sales By Gender!PivotTable2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922550378877063"/>
          <c:y val="0.26128346456692914"/>
          <c:w val="0.67432931348697689"/>
          <c:h val="0.47690176227971504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'Total Sales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'Total Sales By Gender'!$B$4:$B$7</c:f>
              <c:numCache>
                <c:formatCode>General</c:formatCode>
                <c:ptCount val="3"/>
                <c:pt idx="0">
                  <c:v>110105</c:v>
                </c:pt>
                <c:pt idx="1">
                  <c:v>79230</c:v>
                </c:pt>
                <c:pt idx="2">
                  <c:v>10370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C-4577-8E38-B9790E2A4A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80410543"/>
        <c:axId val="780420527"/>
      </c:lineChart>
      <c:catAx>
        <c:axId val="78041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420527"/>
        <c:crosses val="autoZero"/>
        <c:auto val="1"/>
        <c:lblAlgn val="ctr"/>
        <c:lblOffset val="100"/>
        <c:noMultiLvlLbl val="0"/>
      </c:catAx>
      <c:valAx>
        <c:axId val="780420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80410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Project.xlsx]Total Sales By City!PivotTable1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City</a:t>
            </a:r>
          </a:p>
        </c:rich>
      </c:tx>
      <c:layout>
        <c:manualLayout>
          <c:xMode val="edge"/>
          <c:yMode val="edge"/>
          <c:x val="0.50916666666666666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267191245332084"/>
          <c:y val="0.17006781215545083"/>
          <c:w val="0.51702909011373577"/>
          <c:h val="0.86171515018955969"/>
        </c:manualLayout>
      </c:layout>
      <c:pieChart>
        <c:varyColors val="1"/>
        <c:ser>
          <c:idx val="0"/>
          <c:order val="0"/>
          <c:tx>
            <c:strRef>
              <c:f>'Total Sales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2-43BE-A7B2-5C872CEFA3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2-43BE-A7B2-5C872CEFA3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B2-43BE-A7B2-5C872CEFA3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B2-43BE-A7B2-5C872CEFA3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B2-43BE-A7B2-5C872CEFA3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B2-43BE-A7B2-5C872CEFA3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2B2-43BE-A7B2-5C872CEFA3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2B2-43BE-A7B2-5C872CEFA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Sales By City'!$A$4:$A$12</c:f>
              <c:strCache>
                <c:ptCount val="8"/>
                <c:pt idx="0">
                  <c:v> Kumasi</c:v>
                </c:pt>
                <c:pt idx="1">
                  <c:v>Abuja</c:v>
                </c:pt>
                <c:pt idx="2">
                  <c:v>Accra</c:v>
                </c:pt>
                <c:pt idx="3">
                  <c:v>Accra </c:v>
                </c:pt>
                <c:pt idx="4">
                  <c:v>Kumasi</c:v>
                </c:pt>
                <c:pt idx="5">
                  <c:v>Lagos</c:v>
                </c:pt>
                <c:pt idx="6">
                  <c:v>Lome</c:v>
                </c:pt>
                <c:pt idx="7">
                  <c:v>(blank)</c:v>
                </c:pt>
              </c:strCache>
            </c:strRef>
          </c:cat>
          <c:val>
            <c:numRef>
              <c:f>'Total Sales By City'!$B$4:$B$12</c:f>
              <c:numCache>
                <c:formatCode>General</c:formatCode>
                <c:ptCount val="8"/>
                <c:pt idx="0">
                  <c:v>17155</c:v>
                </c:pt>
                <c:pt idx="1">
                  <c:v>38055</c:v>
                </c:pt>
                <c:pt idx="2">
                  <c:v>40290</c:v>
                </c:pt>
                <c:pt idx="3">
                  <c:v>18505</c:v>
                </c:pt>
                <c:pt idx="4">
                  <c:v>30700</c:v>
                </c:pt>
                <c:pt idx="5">
                  <c:v>25130</c:v>
                </c:pt>
                <c:pt idx="6">
                  <c:v>29835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B2-43BE-A7B2-5C872CEFA3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Project.xlsx]Total Sales By Product Category!PivotTable1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7458114610673667"/>
          <c:w val="0.93888888888888888"/>
          <c:h val="0.52644757946923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'Total 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 By Product Category'!$A$4:$A$10</c:f>
              <c:strCache>
                <c:ptCount val="6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Mouse</c:v>
                </c:pt>
                <c:pt idx="4">
                  <c:v>Notebook</c:v>
                </c:pt>
                <c:pt idx="5">
                  <c:v>Printer</c:v>
                </c:pt>
              </c:strCache>
            </c:strRef>
          </c:cat>
          <c:val>
            <c:numRef>
              <c:f>'Total Sales By Product Category'!$B$4:$B$10</c:f>
              <c:numCache>
                <c:formatCode>General</c:formatCode>
                <c:ptCount val="6"/>
                <c:pt idx="0">
                  <c:v>3895</c:v>
                </c:pt>
                <c:pt idx="1">
                  <c:v>14220</c:v>
                </c:pt>
                <c:pt idx="2">
                  <c:v>157200</c:v>
                </c:pt>
                <c:pt idx="3">
                  <c:v>1800</c:v>
                </c:pt>
                <c:pt idx="4">
                  <c:v>340</c:v>
                </c:pt>
                <c:pt idx="5">
                  <c:v>22250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9-4424-ABAA-B2B0D1D027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72618335"/>
        <c:axId val="772613343"/>
      </c:barChart>
      <c:catAx>
        <c:axId val="772618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13343"/>
        <c:crosses val="autoZero"/>
        <c:auto val="1"/>
        <c:lblAlgn val="ctr"/>
        <c:lblOffset val="100"/>
        <c:noMultiLvlLbl val="0"/>
      </c:catAx>
      <c:valAx>
        <c:axId val="7726133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72618335"/>
        <c:crosses val="autoZero"/>
        <c:crossBetween val="between"/>
      </c:valAx>
      <c:spPr>
        <a:solidFill>
          <a:schemeClr val="accent2">
            <a:lumMod val="7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>
          <a:lumMod val="20000"/>
          <a:lumOff val="80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85725</xdr:rowOff>
    </xdr:from>
    <xdr:to>
      <xdr:col>7</xdr:col>
      <xdr:colOff>28575</xdr:colOff>
      <xdr:row>11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74539-466A-4150-94CC-9A72FAB921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38099</xdr:colOff>
      <xdr:row>0</xdr:row>
      <xdr:rowOff>180974</xdr:rowOff>
    </xdr:from>
    <xdr:to>
      <xdr:col>19</xdr:col>
      <xdr:colOff>552450</xdr:colOff>
      <xdr:row>14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2EE41-8E39-4E71-9864-5570253DD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</xdr:colOff>
      <xdr:row>13</xdr:row>
      <xdr:rowOff>104775</xdr:rowOff>
    </xdr:from>
    <xdr:to>
      <xdr:col>13</xdr:col>
      <xdr:colOff>400050</xdr:colOff>
      <xdr:row>27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9EE9CB-7CF8-499C-8F78-2B46611A4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96.057911111115" createdVersion="7" refreshedVersion="7" minRefreshableVersion="3" recordCount="99" xr:uid="{305ED68D-8443-4D20-8721-DBF3981DB583}">
  <cacheSource type="worksheet">
    <worksheetSource name="Table3"/>
  </cacheSource>
  <cacheFields count="11">
    <cacheField name="OrderID" numFmtId="0">
      <sharedItems containsSemiMixedTypes="0" containsString="0" containsNumber="1" containsInteger="1" minValue="1" maxValue="100"/>
    </cacheField>
    <cacheField name="OrderDate" numFmtId="14">
      <sharedItems containsSemiMixedTypes="0" containsNonDate="0" containsDate="1" containsString="0" minDate="2026-01-03T00:00:00" maxDate="2026-12-21T00:00:00"/>
    </cacheField>
    <cacheField name="CustomerName" numFmtId="0">
      <sharedItems/>
    </cacheField>
    <cacheField name="Gender" numFmtId="0">
      <sharedItems/>
    </cacheField>
    <cacheField name="Product" numFmtId="0">
      <sharedItems count="6">
        <s v="Printer"/>
        <s v="Laptop"/>
        <s v="Mouse"/>
        <s v="Notebook"/>
        <s v="Desk"/>
        <s v="Chair"/>
      </sharedItems>
    </cacheField>
    <cacheField name="Category" numFmtId="0">
      <sharedItems/>
    </cacheField>
    <cacheField name="Quantity" numFmtId="0">
      <sharedItems containsString="0" containsBlank="1" containsNumber="1" containsInteger="1" minValue="1" maxValue="10"/>
    </cacheField>
    <cacheField name="UnitPrice" numFmtId="0">
      <sharedItems containsString="0" containsBlank="1" containsNumber="1" containsInteger="1" minValue="5" maxValue="1200"/>
    </cacheField>
    <cacheField name="City" numFmtId="0">
      <sharedItems containsBlank="1"/>
    </cacheField>
    <cacheField name="Salesperson" numFmtId="0">
      <sharedItems/>
    </cacheField>
    <cacheField name="TotalSales" numFmtId="0">
      <sharedItems containsString="0" containsBlank="1" containsNumber="1" containsInteger="1" minValue="5" maxValue="1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96.080234027781" createdVersion="7" refreshedVersion="7" minRefreshableVersion="3" recordCount="99" xr:uid="{3ADE0655-299E-445A-84D8-293268FD1E7B}">
  <cacheSource type="worksheet">
    <worksheetSource name="Clean_Data_Analysis_Project"/>
  </cacheSource>
  <cacheFields count="12">
    <cacheField name="OrderID" numFmtId="0">
      <sharedItems containsSemiMixedTypes="0" containsString="0" containsNumber="1" containsInteger="1" minValue="1" maxValue="100"/>
    </cacheField>
    <cacheField name="OrderDate" numFmtId="14">
      <sharedItems containsSemiMixedTypes="0" containsNonDate="0" containsDate="1" containsString="0" minDate="2026-01-03T00:00:00" maxDate="2026-12-21T00:00:00"/>
    </cacheField>
    <cacheField name="CustomerName" numFmtId="0">
      <sharedItems/>
    </cacheField>
    <cacheField name="Gender" numFmtId="0">
      <sharedItems count="3">
        <s v="Female"/>
        <s v="Male"/>
        <s v="Unknown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tring="0" containsBlank="1" containsNumber="1" containsInteger="1" minValue="1" maxValue="10"/>
    </cacheField>
    <cacheField name="UnitPrice" numFmtId="0">
      <sharedItems containsString="0" containsBlank="1" containsNumber="1" containsInteger="1" minValue="5" maxValue="1200"/>
    </cacheField>
    <cacheField name="City" numFmtId="0">
      <sharedItems containsBlank="1" count="8">
        <s v="Accra "/>
        <s v="Accra"/>
        <s v=" Kumasi"/>
        <s v="Abuja"/>
        <s v="Lagos"/>
        <s v="Lome"/>
        <s v="Kumasi"/>
        <m/>
      </sharedItems>
    </cacheField>
    <cacheField name="Salesperson" numFmtId="0">
      <sharedItems/>
    </cacheField>
    <cacheField name="TotalSales" numFmtId="0">
      <sharedItems containsString="0" containsBlank="1" containsNumber="1" containsInteger="1" minValue="5" maxValue="12000"/>
    </cacheField>
    <cacheField name="Pere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d v="2026-01-24T00:00:00"/>
    <s v="Peter Doe"/>
    <s v="Female"/>
    <x v="0"/>
    <s v="Electronics"/>
    <n v="2"/>
    <n v="250"/>
    <s v="Accra "/>
    <s v="Emeka"/>
    <n v="500"/>
  </r>
  <r>
    <n v="2"/>
    <d v="2026-07-02T00:00:00"/>
    <s v="John Mensah"/>
    <s v="Male"/>
    <x v="1"/>
    <s v="Electronics"/>
    <n v="10"/>
    <n v="1200"/>
    <s v="Accra"/>
    <s v="Emeka"/>
    <n v="12000"/>
  </r>
  <r>
    <n v="3"/>
    <d v="2026-07-08T00:00:00"/>
    <s v="James Cole"/>
    <s v="Unknown"/>
    <x v="2"/>
    <s v="Electronics"/>
    <n v="9"/>
    <n v="25"/>
    <s v=" Kumasi"/>
    <s v="Bob"/>
    <n v="225"/>
  </r>
  <r>
    <n v="4"/>
    <d v="2026-06-09T00:00:00"/>
    <s v="Kofi Asare"/>
    <s v="Female"/>
    <x v="0"/>
    <s v="Electronics"/>
    <n v="7"/>
    <n v="250"/>
    <s v="Accra"/>
    <s v="Diana"/>
    <n v="1750"/>
  </r>
  <r>
    <n v="5"/>
    <d v="2026-06-20T00:00:00"/>
    <s v="Peter Doe"/>
    <s v="Male"/>
    <x v="1"/>
    <s v="Electronics"/>
    <n v="6"/>
    <n v="1200"/>
    <s v="Abuja"/>
    <s v="Alice"/>
    <n v="7200"/>
  </r>
  <r>
    <n v="6"/>
    <d v="2026-11-20T00:00:00"/>
    <s v="Sarah Ann"/>
    <s v="Unknown"/>
    <x v="3"/>
    <s v="Stationery"/>
    <n v="5"/>
    <n v="5"/>
    <s v="Accra "/>
    <s v="Bob"/>
    <n v="25"/>
  </r>
  <r>
    <n v="7"/>
    <d v="2026-04-28T00:00:00"/>
    <s v=" Mary Boakye "/>
    <s v="Female"/>
    <x v="4"/>
    <s v="Furniture"/>
    <n v="2"/>
    <n v="180"/>
    <s v="Lagos"/>
    <s v="Bob"/>
    <n v="360"/>
  </r>
  <r>
    <n v="8"/>
    <d v="2026-04-22T00:00:00"/>
    <s v="Peter Doe"/>
    <s v="Male"/>
    <x v="4"/>
    <s v="Furniture"/>
    <n v="6"/>
    <n v="180"/>
    <s v="Accra "/>
    <s v="Bob"/>
    <n v="1080"/>
  </r>
  <r>
    <n v="9"/>
    <d v="2026-07-09T00:00:00"/>
    <s v="Grace Agyeman"/>
    <s v="Female"/>
    <x v="2"/>
    <s v="Electronics"/>
    <n v="8"/>
    <n v="25"/>
    <s v=" Kumasi"/>
    <s v="Alice"/>
    <n v="200"/>
  </r>
  <r>
    <n v="10"/>
    <d v="2026-06-13T00:00:00"/>
    <s v="Peter Doe"/>
    <s v="Male"/>
    <x v="2"/>
    <s v="Electronics"/>
    <n v="1"/>
    <n v="25"/>
    <s v="Accra "/>
    <s v="Charles"/>
    <n v="25"/>
  </r>
  <r>
    <n v="12"/>
    <d v="2026-07-19T00:00:00"/>
    <s v="Linda King"/>
    <s v="Male"/>
    <x v="4"/>
    <s v="Furniture"/>
    <n v="10"/>
    <n v="180"/>
    <s v="Lome"/>
    <s v="Diana"/>
    <n v="1800"/>
  </r>
  <r>
    <n v="13"/>
    <d v="2026-02-05T00:00:00"/>
    <s v="Kofi Asare"/>
    <s v="Female"/>
    <x v="1"/>
    <s v="Electronics"/>
    <n v="1"/>
    <n v="1200"/>
    <s v="Lome"/>
    <s v="Diana"/>
    <n v="1200"/>
  </r>
  <r>
    <n v="14"/>
    <d v="2026-09-28T00:00:00"/>
    <s v="John Mensah"/>
    <s v="Male"/>
    <x v="3"/>
    <s v="Stationery"/>
    <n v="5"/>
    <n v="5"/>
    <s v="Lagos"/>
    <s v="Charles"/>
    <n v="25"/>
  </r>
  <r>
    <n v="15"/>
    <d v="2026-07-06T00:00:00"/>
    <s v="James Cole"/>
    <s v="Male"/>
    <x v="1"/>
    <s v="Electronics"/>
    <n v="5"/>
    <n v="1200"/>
    <s v="Lagos"/>
    <s v="Emeka"/>
    <n v="6000"/>
  </r>
  <r>
    <n v="16"/>
    <d v="2026-02-28T00:00:00"/>
    <s v="Peter Doe"/>
    <s v="Unknown"/>
    <x v="2"/>
    <s v="Electronics"/>
    <n v="9"/>
    <n v="25"/>
    <s v=" Kumasi"/>
    <s v="Bob"/>
    <n v="225"/>
  </r>
  <r>
    <n v="17"/>
    <d v="2026-01-20T00:00:00"/>
    <s v="Sarah Ann"/>
    <s v="Female"/>
    <x v="3"/>
    <s v="Stationery"/>
    <m/>
    <n v="5"/>
    <s v=" Kumasi"/>
    <s v="Charles"/>
    <m/>
  </r>
  <r>
    <n v="18"/>
    <d v="2026-04-19T00:00:00"/>
    <s v=" Mary Boakye "/>
    <s v="Male"/>
    <x v="2"/>
    <s v="Electronics"/>
    <n v="1"/>
    <n v="25"/>
    <s v=" Kumasi"/>
    <s v="Emeka"/>
    <n v="25"/>
  </r>
  <r>
    <n v="19"/>
    <d v="2026-11-16T00:00:00"/>
    <s v="Grace Agyeman"/>
    <s v="Female"/>
    <x v="2"/>
    <s v="Electronics"/>
    <n v="3"/>
    <n v="25"/>
    <s v="Abuja"/>
    <s v="Bob"/>
    <n v="75"/>
  </r>
  <r>
    <n v="20"/>
    <d v="2026-12-10T00:00:00"/>
    <s v="Linda King"/>
    <s v="Male"/>
    <x v="3"/>
    <s v="Stationery"/>
    <n v="4"/>
    <n v="5"/>
    <s v="Accra"/>
    <s v="Bob"/>
    <n v="20"/>
  </r>
  <r>
    <n v="21"/>
    <d v="2026-06-01T00:00:00"/>
    <s v="David Smith"/>
    <s v="Unknown"/>
    <x v="2"/>
    <s v="Electronics"/>
    <n v="2"/>
    <n v="25"/>
    <s v="Accra"/>
    <s v="Alice"/>
    <n v="50"/>
  </r>
  <r>
    <n v="22"/>
    <d v="2026-01-28T00:00:00"/>
    <s v="Sarah Ann"/>
    <s v="Male"/>
    <x v="2"/>
    <s v="Electronics"/>
    <n v="2"/>
    <n v="25"/>
    <s v="Abuja"/>
    <s v="Bob"/>
    <n v="50"/>
  </r>
  <r>
    <n v="23"/>
    <d v="2026-12-19T00:00:00"/>
    <s v="David Smith"/>
    <s v="Female"/>
    <x v="3"/>
    <s v="Stationery"/>
    <n v="3"/>
    <n v="5"/>
    <s v="Abuja"/>
    <s v="Bob"/>
    <n v="15"/>
  </r>
  <r>
    <n v="24"/>
    <d v="2026-11-14T00:00:00"/>
    <s v="Sarah Ann"/>
    <s v="Female"/>
    <x v="1"/>
    <s v="Electronics"/>
    <n v="2"/>
    <n v="1200"/>
    <s v="Accra"/>
    <s v="Alice"/>
    <n v="2400"/>
  </r>
  <r>
    <n v="25"/>
    <d v="2026-12-11T00:00:00"/>
    <s v=" Mary Boakye "/>
    <s v="Female"/>
    <x v="1"/>
    <s v="Electronics"/>
    <n v="7"/>
    <n v="1200"/>
    <s v="Kumasi"/>
    <s v="Diana"/>
    <n v="8400"/>
  </r>
  <r>
    <n v="26"/>
    <d v="2026-08-08T00:00:00"/>
    <s v=" Mary Boakye "/>
    <s v="Female"/>
    <x v="2"/>
    <s v="Electronics"/>
    <n v="5"/>
    <n v="25"/>
    <s v="Accra"/>
    <s v="Alice"/>
    <n v="125"/>
  </r>
  <r>
    <n v="27"/>
    <d v="2026-01-03T00:00:00"/>
    <s v="Ama Owusu"/>
    <s v="Female"/>
    <x v="0"/>
    <s v="Electronics"/>
    <n v="9"/>
    <n v="250"/>
    <s v=" Kumasi"/>
    <s v="Diana"/>
    <n v="2250"/>
  </r>
  <r>
    <n v="28"/>
    <d v="2026-07-01T00:00:00"/>
    <s v="Linda King"/>
    <s v="Male"/>
    <x v="1"/>
    <s v="Electronics"/>
    <n v="3"/>
    <n v="1200"/>
    <s v="Lagos"/>
    <s v="Diana"/>
    <n v="3600"/>
  </r>
  <r>
    <n v="29"/>
    <d v="2026-11-23T00:00:00"/>
    <s v="James Cole"/>
    <s v="Female"/>
    <x v="0"/>
    <s v="Electronics"/>
    <n v="9"/>
    <n v="250"/>
    <s v="Accra"/>
    <s v="Emeka"/>
    <n v="2250"/>
  </r>
  <r>
    <n v="30"/>
    <d v="2026-01-24T00:00:00"/>
    <s v="Sarah Ann"/>
    <s v="Male"/>
    <x v="0"/>
    <s v="Electronics"/>
    <n v="9"/>
    <n v="250"/>
    <s v=" Kumasi"/>
    <s v="Emeka"/>
    <n v="2250"/>
  </r>
  <r>
    <n v="31"/>
    <d v="2026-09-03T00:00:00"/>
    <s v="Kofi Asare"/>
    <s v="Male"/>
    <x v="2"/>
    <s v="Electronics"/>
    <n v="1"/>
    <n v="25"/>
    <s v="Kumasi"/>
    <s v="Diana"/>
    <n v="25"/>
  </r>
  <r>
    <n v="32"/>
    <d v="2026-04-19T00:00:00"/>
    <s v="David Smith"/>
    <s v="Male"/>
    <x v="1"/>
    <s v="Electronics"/>
    <n v="10"/>
    <n v="1200"/>
    <s v="Lome"/>
    <s v="Emeka"/>
    <n v="12000"/>
  </r>
  <r>
    <n v="33"/>
    <d v="2026-05-07T00:00:00"/>
    <s v="Sarah Ann"/>
    <s v="Female"/>
    <x v="3"/>
    <s v="Stationery"/>
    <n v="6"/>
    <n v="5"/>
    <s v="Accra "/>
    <s v="Charles"/>
    <n v="30"/>
  </r>
  <r>
    <n v="34"/>
    <d v="2026-02-01T00:00:00"/>
    <s v="James Cole"/>
    <s v="Unknown"/>
    <x v="5"/>
    <s v="Furniture"/>
    <n v="6"/>
    <n v="95"/>
    <s v="Accra"/>
    <s v="Emeka"/>
    <n v="570"/>
  </r>
  <r>
    <n v="35"/>
    <d v="2026-05-05T00:00:00"/>
    <s v="Sarah Ann"/>
    <s v="Male"/>
    <x v="2"/>
    <s v="Electronics"/>
    <n v="9"/>
    <n v="25"/>
    <s v="Kumasi"/>
    <s v="Diana"/>
    <n v="225"/>
  </r>
  <r>
    <n v="36"/>
    <d v="2026-10-26T00:00:00"/>
    <s v="Grace Agyeman"/>
    <s v="Male"/>
    <x v="3"/>
    <s v="Stationery"/>
    <n v="5"/>
    <n v="5"/>
    <s v="Accra "/>
    <s v="Alice"/>
    <n v="25"/>
  </r>
  <r>
    <n v="37"/>
    <d v="2026-02-04T00:00:00"/>
    <s v="Grace Agyeman"/>
    <s v="Female"/>
    <x v="2"/>
    <s v="Electronics"/>
    <n v="5"/>
    <n v="25"/>
    <s v="Accra "/>
    <s v="Charles"/>
    <n v="125"/>
  </r>
  <r>
    <n v="38"/>
    <d v="2026-09-16T00:00:00"/>
    <s v="Peter Doe"/>
    <s v="Male"/>
    <x v="2"/>
    <s v="Electronics"/>
    <n v="5"/>
    <n v="25"/>
    <s v="Lagos"/>
    <s v="Alice"/>
    <n v="125"/>
  </r>
  <r>
    <n v="39"/>
    <d v="2026-03-21T00:00:00"/>
    <s v="Peter Doe"/>
    <s v="Female"/>
    <x v="1"/>
    <s v="Electronics"/>
    <n v="6"/>
    <n v="1200"/>
    <s v="Abuja"/>
    <s v="Emeka"/>
    <n v="7200"/>
  </r>
  <r>
    <n v="40"/>
    <d v="2026-02-23T00:00:00"/>
    <s v="Kofi Asare"/>
    <s v="Unknown"/>
    <x v="1"/>
    <s v="Electronics"/>
    <m/>
    <n v="1200"/>
    <s v="Lome"/>
    <s v="Bob"/>
    <m/>
  </r>
  <r>
    <n v="41"/>
    <d v="2026-01-10T00:00:00"/>
    <s v="Sarah Ann"/>
    <s v="Male"/>
    <x v="5"/>
    <s v="Furniture"/>
    <n v="3"/>
    <n v="95"/>
    <s v="Kumasi"/>
    <s v="Alice"/>
    <n v="285"/>
  </r>
  <r>
    <n v="42"/>
    <d v="2026-07-20T00:00:00"/>
    <s v="Kofi Asare"/>
    <s v="Female"/>
    <x v="4"/>
    <s v="Furniture"/>
    <n v="9"/>
    <n v="180"/>
    <s v=" Kumasi"/>
    <s v="Bob"/>
    <n v="1620"/>
  </r>
  <r>
    <n v="43"/>
    <d v="2026-03-24T00:00:00"/>
    <s v="Sarah Ann"/>
    <s v="Female"/>
    <x v="5"/>
    <s v="Furniture"/>
    <n v="1"/>
    <n v="95"/>
    <s v=" Kumasi"/>
    <s v="Bob"/>
    <n v="95"/>
  </r>
  <r>
    <n v="44"/>
    <d v="2026-12-04T00:00:00"/>
    <s v="Linda King"/>
    <s v="Male"/>
    <x v="4"/>
    <s v="Furniture"/>
    <n v="3"/>
    <n v="180"/>
    <s v=" Kumasi"/>
    <s v="Diana"/>
    <n v="540"/>
  </r>
  <r>
    <n v="45"/>
    <d v="2026-04-08T00:00:00"/>
    <s v="John Mensah"/>
    <s v="Female"/>
    <x v="4"/>
    <s v="Furniture"/>
    <n v="5"/>
    <n v="180"/>
    <s v="Accra"/>
    <s v="Charles"/>
    <n v="900"/>
  </r>
  <r>
    <n v="46"/>
    <d v="2026-07-22T00:00:00"/>
    <s v="Grace Agyeman"/>
    <s v="Male"/>
    <x v="4"/>
    <s v="Furniture"/>
    <n v="9"/>
    <n v="180"/>
    <s v="Lagos"/>
    <s v="Bob"/>
    <n v="1620"/>
  </r>
  <r>
    <n v="47"/>
    <d v="2026-01-04T00:00:00"/>
    <s v="David Smith"/>
    <s v="Female"/>
    <x v="3"/>
    <s v="Stationery"/>
    <n v="5"/>
    <n v="5"/>
    <s v="Abuja"/>
    <s v="Emeka"/>
    <n v="25"/>
  </r>
  <r>
    <n v="48"/>
    <d v="2026-07-19T00:00:00"/>
    <s v="Ama Owusu"/>
    <s v="Male"/>
    <x v="3"/>
    <s v="Stationery"/>
    <m/>
    <n v="5"/>
    <s v="Lome"/>
    <s v="Emeka"/>
    <m/>
  </r>
  <r>
    <n v="49"/>
    <d v="2026-06-14T00:00:00"/>
    <s v=" Mary Boakye "/>
    <s v="Male"/>
    <x v="0"/>
    <s v="Electronics"/>
    <n v="4"/>
    <n v="250"/>
    <s v="Accra"/>
    <s v="Charles"/>
    <n v="1000"/>
  </r>
  <r>
    <n v="50"/>
    <d v="2026-11-14T00:00:00"/>
    <s v="Sarah Ann"/>
    <s v="Female"/>
    <x v="3"/>
    <s v="Stationery"/>
    <n v="5"/>
    <n v="5"/>
    <s v="Kumasi"/>
    <s v="Diana"/>
    <n v="25"/>
  </r>
  <r>
    <n v="51"/>
    <d v="2026-11-24T00:00:00"/>
    <s v="John Mensah"/>
    <s v="Unknown"/>
    <x v="0"/>
    <s v="Electronics"/>
    <n v="7"/>
    <n v="250"/>
    <s v=" Kumasi"/>
    <s v="Alice"/>
    <n v="1750"/>
  </r>
  <r>
    <n v="52"/>
    <d v="2026-04-14T00:00:00"/>
    <s v="David Smith"/>
    <s v="Unknown"/>
    <x v="4"/>
    <s v="Furniture"/>
    <n v="5"/>
    <n v="180"/>
    <s v="Abuja"/>
    <s v="Bob"/>
    <n v="900"/>
  </r>
  <r>
    <n v="53"/>
    <d v="2026-12-06T00:00:00"/>
    <s v=" Mary Boakye "/>
    <s v="Male"/>
    <x v="3"/>
    <s v="Stationery"/>
    <n v="8"/>
    <n v="5"/>
    <s v="Lagos"/>
    <s v="Alice"/>
    <n v="40"/>
  </r>
  <r>
    <n v="54"/>
    <d v="2026-04-26T00:00:00"/>
    <s v="Ama Owusu"/>
    <s v="Female"/>
    <x v="2"/>
    <s v="Electronics"/>
    <m/>
    <n v="25"/>
    <s v="Abuja"/>
    <s v="Emeka"/>
    <m/>
  </r>
  <r>
    <n v="55"/>
    <d v="2026-07-21T00:00:00"/>
    <s v="David Smith"/>
    <s v="Female"/>
    <x v="1"/>
    <s v="Electronics"/>
    <n v="8"/>
    <n v="1200"/>
    <s v="Abuja"/>
    <s v="Bob"/>
    <n v="9600"/>
  </r>
  <r>
    <n v="56"/>
    <d v="2026-02-25T00:00:00"/>
    <s v="Linda King"/>
    <s v="Female"/>
    <x v="2"/>
    <s v="Electronics"/>
    <n v="1"/>
    <n v="25"/>
    <s v="Lome"/>
    <s v="Diana"/>
    <n v="25"/>
  </r>
  <r>
    <n v="57"/>
    <d v="2026-04-28T00:00:00"/>
    <s v=" Mary Boakye "/>
    <s v="Female"/>
    <x v="1"/>
    <s v="Electronics"/>
    <n v="9"/>
    <n v="1200"/>
    <s v="Lome"/>
    <s v="Emeka"/>
    <n v="10800"/>
  </r>
  <r>
    <n v="58"/>
    <d v="2026-08-20T00:00:00"/>
    <s v="Grace Agyeman"/>
    <s v="Female"/>
    <x v="3"/>
    <s v="Stationery"/>
    <n v="6"/>
    <n v="5"/>
    <s v="Kumasi"/>
    <s v="Diana"/>
    <n v="30"/>
  </r>
  <r>
    <n v="59"/>
    <d v="2026-04-27T00:00:00"/>
    <s v="Peter Doe"/>
    <s v="Unknown"/>
    <x v="5"/>
    <s v="Furniture"/>
    <n v="5"/>
    <n v="95"/>
    <s v="Abuja"/>
    <s v="Alice"/>
    <n v="475"/>
  </r>
  <r>
    <n v="60"/>
    <d v="2026-04-09T00:00:00"/>
    <s v="Sarah Ann"/>
    <s v="Male"/>
    <x v="0"/>
    <s v="Electronics"/>
    <n v="5"/>
    <n v="250"/>
    <s v="Kumasi"/>
    <s v="Bob"/>
    <n v="1250"/>
  </r>
  <r>
    <n v="61"/>
    <d v="2026-12-07T00:00:00"/>
    <s v=" Mary Boakye "/>
    <s v="Female"/>
    <x v="5"/>
    <s v="Furniture"/>
    <n v="3"/>
    <n v="95"/>
    <s v="Abuja"/>
    <s v="Alice"/>
    <n v="285"/>
  </r>
  <r>
    <n v="62"/>
    <d v="2026-07-25T00:00:00"/>
    <s v="David Smith"/>
    <s v="Male"/>
    <x v="2"/>
    <s v="Electronics"/>
    <n v="7"/>
    <n v="25"/>
    <s v="Abuja"/>
    <s v="Diana"/>
    <n v="175"/>
  </r>
  <r>
    <n v="63"/>
    <d v="2026-05-25T00:00:00"/>
    <s v="Linda King"/>
    <s v="Female"/>
    <x v="1"/>
    <s v="Electronics"/>
    <n v="6"/>
    <n v="1200"/>
    <s v=" Kumasi"/>
    <s v="Emeka"/>
    <n v="7200"/>
  </r>
  <r>
    <n v="64"/>
    <d v="2026-04-09T00:00:00"/>
    <s v="Linda King"/>
    <s v="Female"/>
    <x v="2"/>
    <s v="Electronics"/>
    <m/>
    <n v="25"/>
    <s v="Accra "/>
    <s v="Diana"/>
    <m/>
  </r>
  <r>
    <n v="65"/>
    <d v="2026-08-05T00:00:00"/>
    <s v="David Smith"/>
    <s v="Unknown"/>
    <x v="0"/>
    <s v="Electronics"/>
    <m/>
    <n v="250"/>
    <s v="Lome"/>
    <s v="Alice"/>
    <m/>
  </r>
  <r>
    <n v="66"/>
    <d v="2026-03-28T00:00:00"/>
    <s v="James Cole"/>
    <s v="Female"/>
    <x v="1"/>
    <s v="Electronics"/>
    <n v="7"/>
    <n v="1200"/>
    <s v="Kumasi"/>
    <s v="Diana"/>
    <n v="8400"/>
  </r>
  <r>
    <n v="67"/>
    <d v="2026-07-09T00:00:00"/>
    <s v="Linda King"/>
    <s v="Male"/>
    <x v="4"/>
    <s v="Furniture"/>
    <n v="6"/>
    <n v="180"/>
    <s v="Accra "/>
    <s v="Emeka"/>
    <n v="1080"/>
  </r>
  <r>
    <n v="68"/>
    <d v="2026-04-21T00:00:00"/>
    <s v=" Mary Boakye "/>
    <s v="Male"/>
    <x v="1"/>
    <s v="Electronics"/>
    <n v="6"/>
    <n v="1200"/>
    <s v="Kumasi"/>
    <s v="Alice"/>
    <n v="7200"/>
  </r>
  <r>
    <n v="69"/>
    <d v="2026-04-05T00:00:00"/>
    <s v="James Cole"/>
    <s v="Male"/>
    <x v="3"/>
    <s v="Stationery"/>
    <n v="3"/>
    <n v="5"/>
    <s v="Accra "/>
    <s v="Charles"/>
    <n v="15"/>
  </r>
  <r>
    <n v="70"/>
    <d v="2026-10-20T00:00:00"/>
    <s v=" Mary Boakye "/>
    <s v="Female"/>
    <x v="4"/>
    <s v="Furniture"/>
    <n v="3"/>
    <n v="180"/>
    <s v="Accra"/>
    <s v="Charles"/>
    <n v="540"/>
  </r>
  <r>
    <n v="71"/>
    <d v="2026-07-23T00:00:00"/>
    <s v="Ama Owusu"/>
    <s v="Male"/>
    <x v="3"/>
    <s v="Stationery"/>
    <n v="7"/>
    <n v="5"/>
    <m/>
    <s v="Alice"/>
    <n v="35"/>
  </r>
  <r>
    <n v="72"/>
    <d v="2026-11-20T00:00:00"/>
    <s v=" Mary Boakye "/>
    <s v="Unknown"/>
    <x v="0"/>
    <s v="Electronics"/>
    <n v="5"/>
    <n v="250"/>
    <s v="Abuja"/>
    <s v="Charles"/>
    <n v="1250"/>
  </r>
  <r>
    <n v="73"/>
    <d v="2026-11-11T00:00:00"/>
    <s v="John Mensah"/>
    <s v="Female"/>
    <x v="1"/>
    <s v="Electronics"/>
    <n v="9"/>
    <n v="1200"/>
    <s v="Lagos"/>
    <s v="Diana"/>
    <n v="10800"/>
  </r>
  <r>
    <n v="74"/>
    <d v="2026-07-06T00:00:00"/>
    <s v="Grace Agyeman"/>
    <s v="Male"/>
    <x v="0"/>
    <s v="Electronics"/>
    <n v="3"/>
    <n v="250"/>
    <s v=" Kumasi"/>
    <s v="Diana"/>
    <n v="750"/>
  </r>
  <r>
    <n v="75"/>
    <d v="2026-12-19T00:00:00"/>
    <s v="Peter Doe"/>
    <s v="Male"/>
    <x v="5"/>
    <s v="Furniture"/>
    <n v="7"/>
    <n v="95"/>
    <s v="Accra"/>
    <s v="Charles"/>
    <n v="665"/>
  </r>
  <r>
    <n v="76"/>
    <d v="2026-08-19T00:00:00"/>
    <s v="David Smith"/>
    <s v="Female"/>
    <x v="5"/>
    <s v="Furniture"/>
    <n v="4"/>
    <n v="95"/>
    <s v="Lagos"/>
    <s v="Bob"/>
    <n v="380"/>
  </r>
  <r>
    <n v="77"/>
    <d v="2026-06-26T00:00:00"/>
    <s v="Peter Doe"/>
    <s v="Male"/>
    <x v="5"/>
    <s v="Furniture"/>
    <n v="4"/>
    <n v="95"/>
    <s v="Lagos"/>
    <s v="Emeka"/>
    <n v="380"/>
  </r>
  <r>
    <n v="78"/>
    <d v="2026-04-03T00:00:00"/>
    <s v="Ama Owusu"/>
    <s v="Female"/>
    <x v="1"/>
    <s v="Electronics"/>
    <n v="9"/>
    <n v="1200"/>
    <s v="Accra "/>
    <s v="Diana"/>
    <n v="10800"/>
  </r>
  <r>
    <n v="79"/>
    <d v="2026-08-26T00:00:00"/>
    <s v="John Mensah"/>
    <s v="Male"/>
    <x v="0"/>
    <s v="Electronics"/>
    <n v="8"/>
    <n v="250"/>
    <s v="Kumasi"/>
    <s v="Charles"/>
    <n v="2000"/>
  </r>
  <r>
    <n v="80"/>
    <d v="2026-06-16T00:00:00"/>
    <s v="Grace Agyeman"/>
    <s v="Unknown"/>
    <x v="0"/>
    <s v="Electronics"/>
    <n v="10"/>
    <n v="250"/>
    <s v="Lome"/>
    <s v="Charles"/>
    <n v="2500"/>
  </r>
  <r>
    <n v="81"/>
    <d v="2026-03-15T00:00:00"/>
    <s v="Peter Doe"/>
    <s v="Female"/>
    <x v="4"/>
    <s v="Furniture"/>
    <n v="8"/>
    <n v="180"/>
    <s v="Accra"/>
    <s v="Emeka"/>
    <n v="1440"/>
  </r>
  <r>
    <n v="82"/>
    <d v="2026-04-07T00:00:00"/>
    <s v="James Cole"/>
    <s v="Male"/>
    <x v="0"/>
    <s v="Electronics"/>
    <n v="3"/>
    <n v="250"/>
    <s v="Lome"/>
    <s v="Emeka"/>
    <n v="750"/>
  </r>
  <r>
    <n v="83"/>
    <d v="2026-04-10T00:00:00"/>
    <s v="Ama Owusu"/>
    <s v="Male"/>
    <x v="4"/>
    <s v="Furniture"/>
    <n v="2"/>
    <m/>
    <s v="Lome"/>
    <s v="Bob"/>
    <m/>
  </r>
  <r>
    <n v="84"/>
    <d v="2026-01-18T00:00:00"/>
    <s v="Peter Doe"/>
    <s v="Female"/>
    <x v="4"/>
    <s v="Furniture"/>
    <n v="1"/>
    <n v="180"/>
    <s v="Accra"/>
    <s v="Alice"/>
    <n v="180"/>
  </r>
  <r>
    <n v="85"/>
    <d v="2026-08-16T00:00:00"/>
    <s v="James Cole"/>
    <s v="Male"/>
    <x v="3"/>
    <s v="Stationery"/>
    <n v="5"/>
    <n v="5"/>
    <s v=" Kumasi"/>
    <s v="Diana"/>
    <n v="25"/>
  </r>
  <r>
    <n v="86"/>
    <d v="2026-07-16T00:00:00"/>
    <s v=" Mary Boakye "/>
    <s v="Unknown"/>
    <x v="1"/>
    <s v="Electronics"/>
    <n v="2"/>
    <n v="1200"/>
    <s v="Kumasi"/>
    <s v="Emeka"/>
    <n v="2400"/>
  </r>
  <r>
    <n v="87"/>
    <d v="2026-04-04T00:00:00"/>
    <s v="Grace Agyeman"/>
    <s v="Female"/>
    <x v="4"/>
    <s v="Furniture"/>
    <n v="2"/>
    <n v="180"/>
    <s v="Kumasi"/>
    <s v="Emeka"/>
    <n v="360"/>
  </r>
  <r>
    <n v="88"/>
    <d v="2026-08-10T00:00:00"/>
    <s v="David Smith"/>
    <s v="Female"/>
    <x v="5"/>
    <s v="Furniture"/>
    <n v="8"/>
    <n v="95"/>
    <s v="Lome"/>
    <s v="Alice"/>
    <n v="760"/>
  </r>
  <r>
    <n v="89"/>
    <d v="2026-05-22T00:00:00"/>
    <s v=" Mary Boakye "/>
    <s v="Female"/>
    <x v="2"/>
    <s v="Electronics"/>
    <n v="4"/>
    <n v="25"/>
    <s v="Kumasi"/>
    <s v="Alice"/>
    <n v="100"/>
  </r>
  <r>
    <n v="90"/>
    <d v="2026-12-20T00:00:00"/>
    <s v="James Cole"/>
    <s v="Male"/>
    <x v="5"/>
    <s v="Furniture"/>
    <m/>
    <n v="95"/>
    <s v="Lagos"/>
    <s v="Diana"/>
    <m/>
  </r>
  <r>
    <n v="91"/>
    <d v="2026-05-26T00:00:00"/>
    <s v="David Smith"/>
    <s v="Female"/>
    <x v="1"/>
    <s v="Electronics"/>
    <n v="4"/>
    <n v="1200"/>
    <s v="Accra "/>
    <s v="Bob"/>
    <n v="4800"/>
  </r>
  <r>
    <n v="92"/>
    <d v="2026-02-02T00:00:00"/>
    <s v="Kofi Asare"/>
    <s v="Male"/>
    <x v="4"/>
    <s v="Furniture"/>
    <n v="3"/>
    <n v="180"/>
    <s v="Lagos"/>
    <s v="Diana"/>
    <n v="540"/>
  </r>
  <r>
    <n v="93"/>
    <d v="2026-12-10T00:00:00"/>
    <s v="Linda King"/>
    <s v="Male"/>
    <x v="1"/>
    <s v="Electronics"/>
    <n v="8"/>
    <n v="1200"/>
    <s v="Accra"/>
    <s v="Emeka"/>
    <n v="9600"/>
  </r>
  <r>
    <n v="94"/>
    <d v="2026-12-11T00:00:00"/>
    <s v="David Smith"/>
    <s v="Male"/>
    <x v="1"/>
    <s v="Electronics"/>
    <m/>
    <n v="1200"/>
    <s v="Accra "/>
    <s v="Emeka"/>
    <m/>
  </r>
  <r>
    <n v="95"/>
    <d v="2026-11-27T00:00:00"/>
    <s v="Peter Doe"/>
    <s v="Unknown"/>
    <x v="3"/>
    <s v="Stationery"/>
    <m/>
    <n v="5"/>
    <s v="Abuja"/>
    <s v="Emeka"/>
    <m/>
  </r>
  <r>
    <n v="96"/>
    <d v="2026-05-06T00:00:00"/>
    <s v="David Smith"/>
    <s v="Female"/>
    <x v="0"/>
    <s v="Electronics"/>
    <n v="8"/>
    <n v="250"/>
    <s v="Accra"/>
    <s v="Diana"/>
    <n v="2000"/>
  </r>
  <r>
    <n v="97"/>
    <d v="2026-06-11T00:00:00"/>
    <s v=" Mary Boakye "/>
    <s v="Female"/>
    <x v="4"/>
    <s v="Furniture"/>
    <n v="7"/>
    <n v="180"/>
    <s v="Lagos"/>
    <s v="Diana"/>
    <n v="1260"/>
  </r>
  <r>
    <n v="98"/>
    <d v="2026-08-03T00:00:00"/>
    <s v="Sarah Ann"/>
    <s v="Male"/>
    <x v="3"/>
    <s v="Stationery"/>
    <n v="1"/>
    <n v="5"/>
    <s v="Abuja"/>
    <s v="Emeka"/>
    <n v="5"/>
  </r>
  <r>
    <n v="99"/>
    <d v="2026-08-14T00:00:00"/>
    <s v="John Mensah"/>
    <s v="Female"/>
    <x v="1"/>
    <s v="Electronics"/>
    <n v="9"/>
    <n v="1200"/>
    <s v="Abuja"/>
    <s v="Diana"/>
    <n v="10800"/>
  </r>
  <r>
    <n v="100"/>
    <d v="2026-05-18T00:00:00"/>
    <s v="Kofi Asare"/>
    <s v="Male"/>
    <x v="1"/>
    <s v="Electronics"/>
    <n v="4"/>
    <n v="1200"/>
    <s v="Accra"/>
    <s v="Alice"/>
    <n v="4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1"/>
    <d v="2026-01-24T00:00:00"/>
    <s v="Peter Doe"/>
    <x v="0"/>
    <s v="Printer"/>
    <s v="Electronics"/>
    <n v="2"/>
    <n v="250"/>
    <x v="0"/>
    <s v="Emeka"/>
    <n v="500"/>
    <s v="High"/>
  </r>
  <r>
    <n v="2"/>
    <d v="2026-07-02T00:00:00"/>
    <s v="John Mensah"/>
    <x v="1"/>
    <s v="Laptop"/>
    <s v="Electronics"/>
    <n v="10"/>
    <n v="1200"/>
    <x v="1"/>
    <s v="Emeka"/>
    <n v="12000"/>
    <s v="High"/>
  </r>
  <r>
    <n v="3"/>
    <d v="2026-07-08T00:00:00"/>
    <s v="James Cole"/>
    <x v="2"/>
    <s v="Mouse"/>
    <s v="Electronics"/>
    <n v="9"/>
    <n v="25"/>
    <x v="2"/>
    <s v="Bob"/>
    <n v="225"/>
    <s v="Low"/>
  </r>
  <r>
    <n v="4"/>
    <d v="2026-06-09T00:00:00"/>
    <s v="Kofi Asare"/>
    <x v="0"/>
    <s v="Printer"/>
    <s v="Electronics"/>
    <n v="7"/>
    <n v="250"/>
    <x v="1"/>
    <s v="Diana"/>
    <n v="1750"/>
    <s v="High"/>
  </r>
  <r>
    <n v="5"/>
    <d v="2026-06-20T00:00:00"/>
    <s v="Peter Doe"/>
    <x v="1"/>
    <s v="Laptop"/>
    <s v="Electronics"/>
    <n v="6"/>
    <n v="1200"/>
    <x v="3"/>
    <s v="Alice"/>
    <n v="7200"/>
    <s v="High"/>
  </r>
  <r>
    <n v="6"/>
    <d v="2026-11-20T00:00:00"/>
    <s v="Sarah Ann"/>
    <x v="2"/>
    <s v="Notebook"/>
    <s v="Stationery"/>
    <n v="5"/>
    <n v="5"/>
    <x v="0"/>
    <s v="Bob"/>
    <n v="25"/>
    <s v="Low"/>
  </r>
  <r>
    <n v="7"/>
    <d v="2026-04-28T00:00:00"/>
    <s v=" Mary Boakye "/>
    <x v="0"/>
    <s v="Desk"/>
    <s v="Furniture"/>
    <n v="2"/>
    <n v="180"/>
    <x v="4"/>
    <s v="Bob"/>
    <n v="360"/>
    <s v="Low"/>
  </r>
  <r>
    <n v="8"/>
    <d v="2026-04-22T00:00:00"/>
    <s v="Peter Doe"/>
    <x v="1"/>
    <s v="Desk"/>
    <s v="Furniture"/>
    <n v="6"/>
    <n v="180"/>
    <x v="0"/>
    <s v="Bob"/>
    <n v="1080"/>
    <s v="High"/>
  </r>
  <r>
    <n v="9"/>
    <d v="2026-07-09T00:00:00"/>
    <s v="Grace Agyeman"/>
    <x v="0"/>
    <s v="Mouse"/>
    <s v="Electronics"/>
    <n v="8"/>
    <n v="25"/>
    <x v="2"/>
    <s v="Alice"/>
    <n v="200"/>
    <s v="Low"/>
  </r>
  <r>
    <n v="10"/>
    <d v="2026-06-13T00:00:00"/>
    <s v="Peter Doe"/>
    <x v="1"/>
    <s v="Mouse"/>
    <s v="Electronics"/>
    <n v="1"/>
    <n v="25"/>
    <x v="0"/>
    <s v="Charles"/>
    <n v="25"/>
    <s v="Low"/>
  </r>
  <r>
    <n v="12"/>
    <d v="2026-07-19T00:00:00"/>
    <s v="Linda King"/>
    <x v="1"/>
    <s v="Desk"/>
    <s v="Furniture"/>
    <n v="10"/>
    <n v="180"/>
    <x v="5"/>
    <s v="Diana"/>
    <n v="1800"/>
    <s v="High"/>
  </r>
  <r>
    <n v="13"/>
    <d v="2026-02-05T00:00:00"/>
    <s v="Kofi Asare"/>
    <x v="0"/>
    <s v="Laptop"/>
    <s v="Electronics"/>
    <n v="1"/>
    <n v="1200"/>
    <x v="5"/>
    <s v="Diana"/>
    <n v="1200"/>
    <s v="High"/>
  </r>
  <r>
    <n v="14"/>
    <d v="2026-09-28T00:00:00"/>
    <s v="John Mensah"/>
    <x v="1"/>
    <s v="Notebook"/>
    <s v="Stationery"/>
    <n v="5"/>
    <n v="5"/>
    <x v="4"/>
    <s v="Charles"/>
    <n v="25"/>
    <s v="Low"/>
  </r>
  <r>
    <n v="15"/>
    <d v="2026-07-06T00:00:00"/>
    <s v="James Cole"/>
    <x v="1"/>
    <s v="Laptop"/>
    <s v="Electronics"/>
    <n v="5"/>
    <n v="1200"/>
    <x v="4"/>
    <s v="Emeka"/>
    <n v="6000"/>
    <s v="High"/>
  </r>
  <r>
    <n v="16"/>
    <d v="2026-02-28T00:00:00"/>
    <s v="Peter Doe"/>
    <x v="2"/>
    <s v="Mouse"/>
    <s v="Electronics"/>
    <n v="9"/>
    <n v="25"/>
    <x v="2"/>
    <s v="Bob"/>
    <n v="225"/>
    <s v="Low"/>
  </r>
  <r>
    <n v="17"/>
    <d v="2026-01-20T00:00:00"/>
    <s v="Sarah Ann"/>
    <x v="0"/>
    <s v="Notebook"/>
    <s v="Stationery"/>
    <m/>
    <n v="5"/>
    <x v="2"/>
    <s v="Charles"/>
    <m/>
    <s v="Low"/>
  </r>
  <r>
    <n v="18"/>
    <d v="2026-04-19T00:00:00"/>
    <s v=" Mary Boakye "/>
    <x v="1"/>
    <s v="Mouse"/>
    <s v="Electronics"/>
    <n v="1"/>
    <n v="25"/>
    <x v="2"/>
    <s v="Emeka"/>
    <n v="25"/>
    <s v="Low"/>
  </r>
  <r>
    <n v="19"/>
    <d v="2026-11-16T00:00:00"/>
    <s v="Grace Agyeman"/>
    <x v="0"/>
    <s v="Mouse"/>
    <s v="Electronics"/>
    <n v="3"/>
    <n v="25"/>
    <x v="3"/>
    <s v="Bob"/>
    <n v="75"/>
    <s v="Low"/>
  </r>
  <r>
    <n v="20"/>
    <d v="2026-12-10T00:00:00"/>
    <s v="Linda King"/>
    <x v="1"/>
    <s v="Notebook"/>
    <s v="Stationery"/>
    <n v="4"/>
    <n v="5"/>
    <x v="1"/>
    <s v="Bob"/>
    <n v="20"/>
    <s v="Low"/>
  </r>
  <r>
    <n v="21"/>
    <d v="2026-06-01T00:00:00"/>
    <s v="David Smith"/>
    <x v="2"/>
    <s v="Mouse"/>
    <s v="Electronics"/>
    <n v="2"/>
    <n v="25"/>
    <x v="1"/>
    <s v="Alice"/>
    <n v="50"/>
    <s v="Low"/>
  </r>
  <r>
    <n v="22"/>
    <d v="2026-01-28T00:00:00"/>
    <s v="Sarah Ann"/>
    <x v="1"/>
    <s v="Mouse"/>
    <s v="Electronics"/>
    <n v="2"/>
    <n v="25"/>
    <x v="3"/>
    <s v="Bob"/>
    <n v="50"/>
    <s v="Low"/>
  </r>
  <r>
    <n v="23"/>
    <d v="2026-12-19T00:00:00"/>
    <s v="David Smith"/>
    <x v="0"/>
    <s v="Notebook"/>
    <s v="Stationery"/>
    <n v="3"/>
    <n v="5"/>
    <x v="3"/>
    <s v="Bob"/>
    <n v="15"/>
    <s v="Low"/>
  </r>
  <r>
    <n v="24"/>
    <d v="2026-11-14T00:00:00"/>
    <s v="Sarah Ann"/>
    <x v="0"/>
    <s v="Laptop"/>
    <s v="Electronics"/>
    <n v="2"/>
    <n v="1200"/>
    <x v="1"/>
    <s v="Alice"/>
    <n v="2400"/>
    <s v="High"/>
  </r>
  <r>
    <n v="25"/>
    <d v="2026-12-11T00:00:00"/>
    <s v=" Mary Boakye "/>
    <x v="0"/>
    <s v="Laptop"/>
    <s v="Electronics"/>
    <n v="7"/>
    <n v="1200"/>
    <x v="6"/>
    <s v="Diana"/>
    <n v="8400"/>
    <s v="High"/>
  </r>
  <r>
    <n v="26"/>
    <d v="2026-08-08T00:00:00"/>
    <s v=" Mary Boakye "/>
    <x v="0"/>
    <s v="Mouse"/>
    <s v="Electronics"/>
    <n v="5"/>
    <n v="25"/>
    <x v="1"/>
    <s v="Alice"/>
    <n v="125"/>
    <s v="Low"/>
  </r>
  <r>
    <n v="27"/>
    <d v="2026-01-03T00:00:00"/>
    <s v="Ama Owusu"/>
    <x v="0"/>
    <s v="Printer"/>
    <s v="Electronics"/>
    <n v="9"/>
    <n v="250"/>
    <x v="2"/>
    <s v="Diana"/>
    <n v="2250"/>
    <s v="High"/>
  </r>
  <r>
    <n v="28"/>
    <d v="2026-07-01T00:00:00"/>
    <s v="Linda King"/>
    <x v="1"/>
    <s v="Laptop"/>
    <s v="Electronics"/>
    <n v="3"/>
    <n v="1200"/>
    <x v="4"/>
    <s v="Diana"/>
    <n v="3600"/>
    <s v="High"/>
  </r>
  <r>
    <n v="29"/>
    <d v="2026-11-23T00:00:00"/>
    <s v="James Cole"/>
    <x v="0"/>
    <s v="Printer"/>
    <s v="Electronics"/>
    <n v="9"/>
    <n v="250"/>
    <x v="1"/>
    <s v="Emeka"/>
    <n v="2250"/>
    <s v="High"/>
  </r>
  <r>
    <n v="30"/>
    <d v="2026-01-24T00:00:00"/>
    <s v="Sarah Ann"/>
    <x v="1"/>
    <s v="Printer"/>
    <s v="Electronics"/>
    <n v="9"/>
    <n v="250"/>
    <x v="2"/>
    <s v="Emeka"/>
    <n v="2250"/>
    <s v="High"/>
  </r>
  <r>
    <n v="31"/>
    <d v="2026-09-03T00:00:00"/>
    <s v="Kofi Asare"/>
    <x v="1"/>
    <s v="Mouse"/>
    <s v="Electronics"/>
    <n v="1"/>
    <n v="25"/>
    <x v="6"/>
    <s v="Diana"/>
    <n v="25"/>
    <s v="Low"/>
  </r>
  <r>
    <n v="32"/>
    <d v="2026-04-19T00:00:00"/>
    <s v="David Smith"/>
    <x v="1"/>
    <s v="Laptop"/>
    <s v="Electronics"/>
    <n v="10"/>
    <n v="1200"/>
    <x v="5"/>
    <s v="Emeka"/>
    <n v="12000"/>
    <s v="High"/>
  </r>
  <r>
    <n v="33"/>
    <d v="2026-05-07T00:00:00"/>
    <s v="Sarah Ann"/>
    <x v="0"/>
    <s v="Notebook"/>
    <s v="Stationery"/>
    <n v="6"/>
    <n v="5"/>
    <x v="0"/>
    <s v="Charles"/>
    <n v="30"/>
    <s v="Low"/>
  </r>
  <r>
    <n v="34"/>
    <d v="2026-02-01T00:00:00"/>
    <s v="James Cole"/>
    <x v="2"/>
    <s v="Chair"/>
    <s v="Furniture"/>
    <n v="6"/>
    <n v="95"/>
    <x v="1"/>
    <s v="Emeka"/>
    <n v="570"/>
    <s v="High"/>
  </r>
  <r>
    <n v="35"/>
    <d v="2026-05-05T00:00:00"/>
    <s v="Sarah Ann"/>
    <x v="1"/>
    <s v="Mouse"/>
    <s v="Electronics"/>
    <n v="9"/>
    <n v="25"/>
    <x v="6"/>
    <s v="Diana"/>
    <n v="225"/>
    <s v="Low"/>
  </r>
  <r>
    <n v="36"/>
    <d v="2026-10-26T00:00:00"/>
    <s v="Grace Agyeman"/>
    <x v="1"/>
    <s v="Notebook"/>
    <s v="Stationery"/>
    <n v="5"/>
    <n v="5"/>
    <x v="0"/>
    <s v="Alice"/>
    <n v="25"/>
    <s v="Low"/>
  </r>
  <r>
    <n v="37"/>
    <d v="2026-02-04T00:00:00"/>
    <s v="Grace Agyeman"/>
    <x v="0"/>
    <s v="Mouse"/>
    <s v="Electronics"/>
    <n v="5"/>
    <n v="25"/>
    <x v="0"/>
    <s v="Charles"/>
    <n v="125"/>
    <s v="Low"/>
  </r>
  <r>
    <n v="38"/>
    <d v="2026-09-16T00:00:00"/>
    <s v="Peter Doe"/>
    <x v="1"/>
    <s v="Mouse"/>
    <s v="Electronics"/>
    <n v="5"/>
    <n v="25"/>
    <x v="4"/>
    <s v="Alice"/>
    <n v="125"/>
    <s v="Low"/>
  </r>
  <r>
    <n v="39"/>
    <d v="2026-03-21T00:00:00"/>
    <s v="Peter Doe"/>
    <x v="0"/>
    <s v="Laptop"/>
    <s v="Electronics"/>
    <n v="6"/>
    <n v="1200"/>
    <x v="3"/>
    <s v="Emeka"/>
    <n v="7200"/>
    <s v="High"/>
  </r>
  <r>
    <n v="40"/>
    <d v="2026-02-23T00:00:00"/>
    <s v="Kofi Asare"/>
    <x v="2"/>
    <s v="Laptop"/>
    <s v="Electronics"/>
    <m/>
    <n v="1200"/>
    <x v="5"/>
    <s v="Bob"/>
    <m/>
    <s v="Low"/>
  </r>
  <r>
    <n v="41"/>
    <d v="2026-01-10T00:00:00"/>
    <s v="Sarah Ann"/>
    <x v="1"/>
    <s v="Chair"/>
    <s v="Furniture"/>
    <n v="3"/>
    <n v="95"/>
    <x v="6"/>
    <s v="Alice"/>
    <n v="285"/>
    <s v="Low"/>
  </r>
  <r>
    <n v="42"/>
    <d v="2026-07-20T00:00:00"/>
    <s v="Kofi Asare"/>
    <x v="0"/>
    <s v="Desk"/>
    <s v="Furniture"/>
    <n v="9"/>
    <n v="180"/>
    <x v="2"/>
    <s v="Bob"/>
    <n v="1620"/>
    <s v="High"/>
  </r>
  <r>
    <n v="43"/>
    <d v="2026-03-24T00:00:00"/>
    <s v="Sarah Ann"/>
    <x v="0"/>
    <s v="Chair"/>
    <s v="Furniture"/>
    <n v="1"/>
    <n v="95"/>
    <x v="2"/>
    <s v="Bob"/>
    <n v="95"/>
    <s v="Low"/>
  </r>
  <r>
    <n v="44"/>
    <d v="2026-12-04T00:00:00"/>
    <s v="Linda King"/>
    <x v="1"/>
    <s v="Desk"/>
    <s v="Furniture"/>
    <n v="3"/>
    <n v="180"/>
    <x v="2"/>
    <s v="Diana"/>
    <n v="540"/>
    <s v="High"/>
  </r>
  <r>
    <n v="45"/>
    <d v="2026-04-08T00:00:00"/>
    <s v="John Mensah"/>
    <x v="0"/>
    <s v="Desk"/>
    <s v="Furniture"/>
    <n v="5"/>
    <n v="180"/>
    <x v="1"/>
    <s v="Charles"/>
    <n v="900"/>
    <s v="High"/>
  </r>
  <r>
    <n v="46"/>
    <d v="2026-07-22T00:00:00"/>
    <s v="Grace Agyeman"/>
    <x v="1"/>
    <s v="Desk"/>
    <s v="Furniture"/>
    <n v="9"/>
    <n v="180"/>
    <x v="4"/>
    <s v="Bob"/>
    <n v="1620"/>
    <s v="High"/>
  </r>
  <r>
    <n v="47"/>
    <d v="2026-01-04T00:00:00"/>
    <s v="David Smith"/>
    <x v="0"/>
    <s v="Notebook"/>
    <s v="Stationery"/>
    <n v="5"/>
    <n v="5"/>
    <x v="3"/>
    <s v="Emeka"/>
    <n v="25"/>
    <s v="Low"/>
  </r>
  <r>
    <n v="48"/>
    <d v="2026-07-19T00:00:00"/>
    <s v="Ama Owusu"/>
    <x v="1"/>
    <s v="Notebook"/>
    <s v="Stationery"/>
    <m/>
    <n v="5"/>
    <x v="5"/>
    <s v="Emeka"/>
    <m/>
    <s v="Low"/>
  </r>
  <r>
    <n v="49"/>
    <d v="2026-06-14T00:00:00"/>
    <s v=" Mary Boakye "/>
    <x v="1"/>
    <s v="Printer"/>
    <s v="Electronics"/>
    <n v="4"/>
    <n v="250"/>
    <x v="1"/>
    <s v="Charles"/>
    <n v="1000"/>
    <s v="High"/>
  </r>
  <r>
    <n v="50"/>
    <d v="2026-11-14T00:00:00"/>
    <s v="Sarah Ann"/>
    <x v="0"/>
    <s v="Notebook"/>
    <s v="Stationery"/>
    <n v="5"/>
    <n v="5"/>
    <x v="6"/>
    <s v="Diana"/>
    <n v="25"/>
    <s v="Low"/>
  </r>
  <r>
    <n v="51"/>
    <d v="2026-11-24T00:00:00"/>
    <s v="John Mensah"/>
    <x v="2"/>
    <s v="Printer"/>
    <s v="Electronics"/>
    <n v="7"/>
    <n v="250"/>
    <x v="2"/>
    <s v="Alice"/>
    <n v="1750"/>
    <s v="High"/>
  </r>
  <r>
    <n v="52"/>
    <d v="2026-04-14T00:00:00"/>
    <s v="David Smith"/>
    <x v="2"/>
    <s v="Desk"/>
    <s v="Furniture"/>
    <n v="5"/>
    <n v="180"/>
    <x v="3"/>
    <s v="Bob"/>
    <n v="900"/>
    <s v="High"/>
  </r>
  <r>
    <n v="53"/>
    <d v="2026-12-06T00:00:00"/>
    <s v=" Mary Boakye "/>
    <x v="1"/>
    <s v="Notebook"/>
    <s v="Stationery"/>
    <n v="8"/>
    <n v="5"/>
    <x v="4"/>
    <s v="Alice"/>
    <n v="40"/>
    <s v="Low"/>
  </r>
  <r>
    <n v="54"/>
    <d v="2026-04-26T00:00:00"/>
    <s v="Ama Owusu"/>
    <x v="0"/>
    <s v="Mouse"/>
    <s v="Electronics"/>
    <m/>
    <n v="25"/>
    <x v="3"/>
    <s v="Emeka"/>
    <m/>
    <s v="Low"/>
  </r>
  <r>
    <n v="55"/>
    <d v="2026-07-21T00:00:00"/>
    <s v="David Smith"/>
    <x v="0"/>
    <s v="Laptop"/>
    <s v="Electronics"/>
    <n v="8"/>
    <n v="1200"/>
    <x v="3"/>
    <s v="Bob"/>
    <n v="9600"/>
    <s v="High"/>
  </r>
  <r>
    <n v="56"/>
    <d v="2026-02-25T00:00:00"/>
    <s v="Linda King"/>
    <x v="0"/>
    <s v="Mouse"/>
    <s v="Electronics"/>
    <n v="1"/>
    <n v="25"/>
    <x v="5"/>
    <s v="Diana"/>
    <n v="25"/>
    <s v="Low"/>
  </r>
  <r>
    <n v="57"/>
    <d v="2026-04-28T00:00:00"/>
    <s v=" Mary Boakye "/>
    <x v="0"/>
    <s v="Laptop"/>
    <s v="Electronics"/>
    <n v="9"/>
    <n v="1200"/>
    <x v="5"/>
    <s v="Emeka"/>
    <n v="10800"/>
    <s v="High"/>
  </r>
  <r>
    <n v="58"/>
    <d v="2026-08-20T00:00:00"/>
    <s v="Grace Agyeman"/>
    <x v="0"/>
    <s v="Notebook"/>
    <s v="Stationery"/>
    <n v="6"/>
    <n v="5"/>
    <x v="6"/>
    <s v="Diana"/>
    <n v="30"/>
    <s v="Low"/>
  </r>
  <r>
    <n v="59"/>
    <d v="2026-04-27T00:00:00"/>
    <s v="Peter Doe"/>
    <x v="2"/>
    <s v="Chair"/>
    <s v="Furniture"/>
    <n v="5"/>
    <n v="95"/>
    <x v="3"/>
    <s v="Alice"/>
    <n v="475"/>
    <s v="Low"/>
  </r>
  <r>
    <n v="60"/>
    <d v="2026-04-09T00:00:00"/>
    <s v="Sarah Ann"/>
    <x v="1"/>
    <s v="Printer"/>
    <s v="Electronics"/>
    <n v="5"/>
    <n v="250"/>
    <x v="6"/>
    <s v="Bob"/>
    <n v="1250"/>
    <s v="High"/>
  </r>
  <r>
    <n v="61"/>
    <d v="2026-12-07T00:00:00"/>
    <s v=" Mary Boakye "/>
    <x v="0"/>
    <s v="Chair"/>
    <s v="Furniture"/>
    <n v="3"/>
    <n v="95"/>
    <x v="3"/>
    <s v="Alice"/>
    <n v="285"/>
    <s v="Low"/>
  </r>
  <r>
    <n v="62"/>
    <d v="2026-07-25T00:00:00"/>
    <s v="David Smith"/>
    <x v="1"/>
    <s v="Mouse"/>
    <s v="Electronics"/>
    <n v="7"/>
    <n v="25"/>
    <x v="3"/>
    <s v="Diana"/>
    <n v="175"/>
    <s v="Low"/>
  </r>
  <r>
    <n v="63"/>
    <d v="2026-05-25T00:00:00"/>
    <s v="Linda King"/>
    <x v="0"/>
    <s v="Laptop"/>
    <s v="Electronics"/>
    <n v="6"/>
    <n v="1200"/>
    <x v="2"/>
    <s v="Emeka"/>
    <n v="7200"/>
    <s v="High"/>
  </r>
  <r>
    <n v="64"/>
    <d v="2026-04-09T00:00:00"/>
    <s v="Linda King"/>
    <x v="0"/>
    <s v="Mouse"/>
    <s v="Electronics"/>
    <m/>
    <n v="25"/>
    <x v="0"/>
    <s v="Diana"/>
    <m/>
    <s v="Low"/>
  </r>
  <r>
    <n v="65"/>
    <d v="2026-08-05T00:00:00"/>
    <s v="David Smith"/>
    <x v="2"/>
    <s v="Printer"/>
    <s v="Electronics"/>
    <m/>
    <n v="250"/>
    <x v="5"/>
    <s v="Alice"/>
    <m/>
    <s v="Low"/>
  </r>
  <r>
    <n v="66"/>
    <d v="2026-03-28T00:00:00"/>
    <s v="James Cole"/>
    <x v="0"/>
    <s v="Laptop"/>
    <s v="Electronics"/>
    <n v="7"/>
    <n v="1200"/>
    <x v="6"/>
    <s v="Diana"/>
    <n v="8400"/>
    <s v="High"/>
  </r>
  <r>
    <n v="67"/>
    <d v="2026-07-09T00:00:00"/>
    <s v="Linda King"/>
    <x v="1"/>
    <s v="Desk"/>
    <s v="Furniture"/>
    <n v="6"/>
    <n v="180"/>
    <x v="0"/>
    <s v="Emeka"/>
    <n v="1080"/>
    <s v="High"/>
  </r>
  <r>
    <n v="68"/>
    <d v="2026-04-21T00:00:00"/>
    <s v=" Mary Boakye "/>
    <x v="1"/>
    <s v="Laptop"/>
    <s v="Electronics"/>
    <n v="6"/>
    <n v="1200"/>
    <x v="6"/>
    <s v="Alice"/>
    <n v="7200"/>
    <s v="High"/>
  </r>
  <r>
    <n v="69"/>
    <d v="2026-04-05T00:00:00"/>
    <s v="James Cole"/>
    <x v="1"/>
    <s v="Notebook"/>
    <s v="Stationery"/>
    <n v="3"/>
    <n v="5"/>
    <x v="0"/>
    <s v="Charles"/>
    <n v="15"/>
    <s v="Low"/>
  </r>
  <r>
    <n v="70"/>
    <d v="2026-10-20T00:00:00"/>
    <s v=" Mary Boakye "/>
    <x v="0"/>
    <s v="Desk"/>
    <s v="Furniture"/>
    <n v="3"/>
    <n v="180"/>
    <x v="1"/>
    <s v="Charles"/>
    <n v="540"/>
    <s v="High"/>
  </r>
  <r>
    <n v="71"/>
    <d v="2026-07-23T00:00:00"/>
    <s v="Ama Owusu"/>
    <x v="1"/>
    <s v="Notebook"/>
    <s v="Stationery"/>
    <n v="7"/>
    <n v="5"/>
    <x v="7"/>
    <s v="Alice"/>
    <n v="35"/>
    <s v="Low"/>
  </r>
  <r>
    <n v="72"/>
    <d v="2026-11-20T00:00:00"/>
    <s v=" Mary Boakye "/>
    <x v="2"/>
    <s v="Printer"/>
    <s v="Electronics"/>
    <n v="5"/>
    <n v="250"/>
    <x v="3"/>
    <s v="Charles"/>
    <n v="1250"/>
    <s v="High"/>
  </r>
  <r>
    <n v="73"/>
    <d v="2026-11-11T00:00:00"/>
    <s v="John Mensah"/>
    <x v="0"/>
    <s v="Laptop"/>
    <s v="Electronics"/>
    <n v="9"/>
    <n v="1200"/>
    <x v="4"/>
    <s v="Diana"/>
    <n v="10800"/>
    <s v="High"/>
  </r>
  <r>
    <n v="74"/>
    <d v="2026-07-06T00:00:00"/>
    <s v="Grace Agyeman"/>
    <x v="1"/>
    <s v="Printer"/>
    <s v="Electronics"/>
    <n v="3"/>
    <n v="250"/>
    <x v="2"/>
    <s v="Diana"/>
    <n v="750"/>
    <s v="High"/>
  </r>
  <r>
    <n v="75"/>
    <d v="2026-12-19T00:00:00"/>
    <s v="Peter Doe"/>
    <x v="1"/>
    <s v="Chair"/>
    <s v="Furniture"/>
    <n v="7"/>
    <n v="95"/>
    <x v="1"/>
    <s v="Charles"/>
    <n v="665"/>
    <s v="High"/>
  </r>
  <r>
    <n v="76"/>
    <d v="2026-08-19T00:00:00"/>
    <s v="David Smith"/>
    <x v="0"/>
    <s v="Chair"/>
    <s v="Furniture"/>
    <n v="4"/>
    <n v="95"/>
    <x v="4"/>
    <s v="Bob"/>
    <n v="380"/>
    <s v="Low"/>
  </r>
  <r>
    <n v="77"/>
    <d v="2026-06-26T00:00:00"/>
    <s v="Peter Doe"/>
    <x v="1"/>
    <s v="Chair"/>
    <s v="Furniture"/>
    <n v="4"/>
    <n v="95"/>
    <x v="4"/>
    <s v="Emeka"/>
    <n v="380"/>
    <s v="Low"/>
  </r>
  <r>
    <n v="78"/>
    <d v="2026-04-03T00:00:00"/>
    <s v="Ama Owusu"/>
    <x v="0"/>
    <s v="Laptop"/>
    <s v="Electronics"/>
    <n v="9"/>
    <n v="1200"/>
    <x v="0"/>
    <s v="Diana"/>
    <n v="10800"/>
    <s v="High"/>
  </r>
  <r>
    <n v="79"/>
    <d v="2026-08-26T00:00:00"/>
    <s v="John Mensah"/>
    <x v="1"/>
    <s v="Printer"/>
    <s v="Electronics"/>
    <n v="8"/>
    <n v="250"/>
    <x v="6"/>
    <s v="Charles"/>
    <n v="2000"/>
    <s v="High"/>
  </r>
  <r>
    <n v="80"/>
    <d v="2026-06-16T00:00:00"/>
    <s v="Grace Agyeman"/>
    <x v="2"/>
    <s v="Printer"/>
    <s v="Electronics"/>
    <n v="10"/>
    <n v="250"/>
    <x v="5"/>
    <s v="Charles"/>
    <n v="2500"/>
    <s v="High"/>
  </r>
  <r>
    <n v="81"/>
    <d v="2026-03-15T00:00:00"/>
    <s v="Peter Doe"/>
    <x v="0"/>
    <s v="Desk"/>
    <s v="Furniture"/>
    <n v="8"/>
    <n v="180"/>
    <x v="1"/>
    <s v="Emeka"/>
    <n v="1440"/>
    <s v="High"/>
  </r>
  <r>
    <n v="82"/>
    <d v="2026-04-07T00:00:00"/>
    <s v="James Cole"/>
    <x v="1"/>
    <s v="Printer"/>
    <s v="Electronics"/>
    <n v="3"/>
    <n v="250"/>
    <x v="5"/>
    <s v="Emeka"/>
    <n v="750"/>
    <s v="High"/>
  </r>
  <r>
    <n v="83"/>
    <d v="2026-04-10T00:00:00"/>
    <s v="Ama Owusu"/>
    <x v="1"/>
    <s v="Desk"/>
    <s v="Furniture"/>
    <n v="2"/>
    <m/>
    <x v="5"/>
    <s v="Bob"/>
    <m/>
    <s v="Low"/>
  </r>
  <r>
    <n v="84"/>
    <d v="2026-01-18T00:00:00"/>
    <s v="Peter Doe"/>
    <x v="0"/>
    <s v="Desk"/>
    <s v="Furniture"/>
    <n v="1"/>
    <n v="180"/>
    <x v="1"/>
    <s v="Alice"/>
    <n v="180"/>
    <s v="Low"/>
  </r>
  <r>
    <n v="85"/>
    <d v="2026-08-16T00:00:00"/>
    <s v="James Cole"/>
    <x v="1"/>
    <s v="Notebook"/>
    <s v="Stationery"/>
    <n v="5"/>
    <n v="5"/>
    <x v="2"/>
    <s v="Diana"/>
    <n v="25"/>
    <s v="Low"/>
  </r>
  <r>
    <n v="86"/>
    <d v="2026-07-16T00:00:00"/>
    <s v=" Mary Boakye "/>
    <x v="2"/>
    <s v="Laptop"/>
    <s v="Electronics"/>
    <n v="2"/>
    <n v="1200"/>
    <x v="6"/>
    <s v="Emeka"/>
    <n v="2400"/>
    <s v="High"/>
  </r>
  <r>
    <n v="87"/>
    <d v="2026-04-04T00:00:00"/>
    <s v="Grace Agyeman"/>
    <x v="0"/>
    <s v="Desk"/>
    <s v="Furniture"/>
    <n v="2"/>
    <n v="180"/>
    <x v="6"/>
    <s v="Emeka"/>
    <n v="360"/>
    <s v="Low"/>
  </r>
  <r>
    <n v="88"/>
    <d v="2026-08-10T00:00:00"/>
    <s v="David Smith"/>
    <x v="0"/>
    <s v="Chair"/>
    <s v="Furniture"/>
    <n v="8"/>
    <n v="95"/>
    <x v="5"/>
    <s v="Alice"/>
    <n v="760"/>
    <s v="High"/>
  </r>
  <r>
    <n v="89"/>
    <d v="2026-05-22T00:00:00"/>
    <s v=" Mary Boakye "/>
    <x v="0"/>
    <s v="Mouse"/>
    <s v="Electronics"/>
    <n v="4"/>
    <n v="25"/>
    <x v="6"/>
    <s v="Alice"/>
    <n v="100"/>
    <s v="Low"/>
  </r>
  <r>
    <n v="90"/>
    <d v="2026-12-20T00:00:00"/>
    <s v="James Cole"/>
    <x v="1"/>
    <s v="Chair"/>
    <s v="Furniture"/>
    <m/>
    <n v="95"/>
    <x v="4"/>
    <s v="Diana"/>
    <m/>
    <s v="Low"/>
  </r>
  <r>
    <n v="91"/>
    <d v="2026-05-26T00:00:00"/>
    <s v="David Smith"/>
    <x v="0"/>
    <s v="Laptop"/>
    <s v="Electronics"/>
    <n v="4"/>
    <n v="1200"/>
    <x v="0"/>
    <s v="Bob"/>
    <n v="4800"/>
    <s v="High"/>
  </r>
  <r>
    <n v="92"/>
    <d v="2026-02-02T00:00:00"/>
    <s v="Kofi Asare"/>
    <x v="1"/>
    <s v="Desk"/>
    <s v="Furniture"/>
    <n v="3"/>
    <n v="180"/>
    <x v="4"/>
    <s v="Diana"/>
    <n v="540"/>
    <s v="High"/>
  </r>
  <r>
    <n v="93"/>
    <d v="2026-12-10T00:00:00"/>
    <s v="Linda King"/>
    <x v="1"/>
    <s v="Laptop"/>
    <s v="Electronics"/>
    <n v="8"/>
    <n v="1200"/>
    <x v="1"/>
    <s v="Emeka"/>
    <n v="9600"/>
    <s v="High"/>
  </r>
  <r>
    <n v="94"/>
    <d v="2026-12-11T00:00:00"/>
    <s v="David Smith"/>
    <x v="1"/>
    <s v="Laptop"/>
    <s v="Electronics"/>
    <m/>
    <n v="1200"/>
    <x v="0"/>
    <s v="Emeka"/>
    <m/>
    <s v="Low"/>
  </r>
  <r>
    <n v="95"/>
    <d v="2026-11-27T00:00:00"/>
    <s v="Peter Doe"/>
    <x v="2"/>
    <s v="Notebook"/>
    <s v="Stationery"/>
    <m/>
    <n v="5"/>
    <x v="3"/>
    <s v="Emeka"/>
    <m/>
    <s v="Low"/>
  </r>
  <r>
    <n v="96"/>
    <d v="2026-05-06T00:00:00"/>
    <s v="David Smith"/>
    <x v="0"/>
    <s v="Printer"/>
    <s v="Electronics"/>
    <n v="8"/>
    <n v="250"/>
    <x v="1"/>
    <s v="Diana"/>
    <n v="2000"/>
    <s v="High"/>
  </r>
  <r>
    <n v="97"/>
    <d v="2026-06-11T00:00:00"/>
    <s v=" Mary Boakye "/>
    <x v="0"/>
    <s v="Desk"/>
    <s v="Furniture"/>
    <n v="7"/>
    <n v="180"/>
    <x v="4"/>
    <s v="Diana"/>
    <n v="1260"/>
    <s v="High"/>
  </r>
  <r>
    <n v="98"/>
    <d v="2026-08-03T00:00:00"/>
    <s v="Sarah Ann"/>
    <x v="1"/>
    <s v="Notebook"/>
    <s v="Stationery"/>
    <n v="1"/>
    <n v="5"/>
    <x v="3"/>
    <s v="Emeka"/>
    <n v="5"/>
    <s v="Low"/>
  </r>
  <r>
    <n v="99"/>
    <d v="2026-08-14T00:00:00"/>
    <s v="John Mensah"/>
    <x v="0"/>
    <s v="Laptop"/>
    <s v="Electronics"/>
    <n v="9"/>
    <n v="1200"/>
    <x v="3"/>
    <s v="Diana"/>
    <n v="10800"/>
    <s v="High"/>
  </r>
  <r>
    <n v="100"/>
    <d v="2026-05-18T00:00:00"/>
    <s v="Kofi Asare"/>
    <x v="1"/>
    <s v="Laptop"/>
    <s v="Electronics"/>
    <n v="4"/>
    <n v="1200"/>
    <x v="1"/>
    <s v="Alice"/>
    <n v="4800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C0857-E940-4F38-988A-FBABF669471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0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7">
        <item x="5"/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Sales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25E55-98FE-4D65-BB1A-0850215F7016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2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1"/>
        <item x="0"/>
        <item x="6"/>
        <item x="4"/>
        <item x="5"/>
        <item x="7"/>
        <item t="default"/>
      </items>
    </pivotField>
    <pivotField showAll="0"/>
    <pivotField dataField="1"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Sales" fld="10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79A0D-CCFD-4F1D-8E69-F3312B73E810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B7" firstHeaderRow="1" firstDataRow="1" firstDataCol="1"/>
  <pivotFields count="12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Sales" fld="10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D58D43-594C-4A86-854A-7D6953C21FE6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OrderID" tableColumnId="1"/>
      <queryTableField id="2" name="OrderDate" tableColumnId="2"/>
      <queryTableField id="3" name="CustomerName" tableColumnId="3"/>
      <queryTableField id="4" name="Gender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City" tableColumnId="9"/>
      <queryTableField id="10" name="Salesperson" tableColumnId="10"/>
      <queryTableField id="11" name="TotalSales" tableColumnId="11"/>
      <queryTableField id="13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01" totalsRowShown="0">
  <autoFilter ref="A1:J101" xr:uid="{00000000-0009-0000-0100-000001000000}"/>
  <tableColumns count="10">
    <tableColumn id="1" xr3:uid="{00000000-0010-0000-0000-000001000000}" name="OrderID"/>
    <tableColumn id="2" xr3:uid="{00000000-0010-0000-0000-000002000000}" name="OrderDate" dataDxfId="24"/>
    <tableColumn id="3" xr3:uid="{00000000-0010-0000-0000-000003000000}" name="CustomerName"/>
    <tableColumn id="4" xr3:uid="{00000000-0010-0000-0000-000004000000}" name="Gender"/>
    <tableColumn id="5" xr3:uid="{00000000-0010-0000-0000-000005000000}" name="Product"/>
    <tableColumn id="6" xr3:uid="{00000000-0010-0000-0000-000006000000}" name="Category"/>
    <tableColumn id="7" xr3:uid="{00000000-0010-0000-0000-000007000000}" name="Quantity"/>
    <tableColumn id="8" xr3:uid="{00000000-0010-0000-0000-000008000000}" name="UnitPrice"/>
    <tableColumn id="9" xr3:uid="{00000000-0010-0000-0000-000009000000}" name="City"/>
    <tableColumn id="10" xr3:uid="{00000000-0010-0000-0000-00000A000000}" name="Salesper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B673C-D7EF-4A93-B3B1-D0BDBF799688}" name="Clean_Data_Analysis_Project" displayName="Clean_Data_Analysis_Project" ref="A1:L100" tableType="queryTable" totalsRowShown="0">
  <autoFilter ref="A1:L100" xr:uid="{527B673C-D7EF-4A93-B3B1-D0BDBF799688}"/>
  <tableColumns count="12">
    <tableColumn id="1" xr3:uid="{32624DFD-FD23-4E10-9EB2-989A9AF8802D}" uniqueName="1" name="OrderID" queryTableFieldId="1"/>
    <tableColumn id="2" xr3:uid="{B85539FF-EB4A-4877-97BC-29841E5E9899}" uniqueName="2" name="OrderDate" queryTableFieldId="2" dataDxfId="23"/>
    <tableColumn id="3" xr3:uid="{DCCC8D10-9A94-44B7-8A22-D4E80C1DE8A5}" uniqueName="3" name="CustomerName" queryTableFieldId="3" dataDxfId="22"/>
    <tableColumn id="4" xr3:uid="{2EF5FB36-8CB2-4313-B55F-B8625C30EE61}" uniqueName="4" name="Gender" queryTableFieldId="4" dataDxfId="21"/>
    <tableColumn id="5" xr3:uid="{8711CFF0-A766-441F-9696-CAF310BB32BA}" uniqueName="5" name="Product" queryTableFieldId="5" dataDxfId="20"/>
    <tableColumn id="6" xr3:uid="{50AD2DBA-F4EE-400E-8D51-BA9FD93F2C52}" uniqueName="6" name="Category" queryTableFieldId="6" dataDxfId="19"/>
    <tableColumn id="7" xr3:uid="{0732C3D1-46E3-4365-8868-2CC89258E896}" uniqueName="7" name="Quantity" queryTableFieldId="7"/>
    <tableColumn id="8" xr3:uid="{C3DCF2D5-E422-47DE-B840-1F4E5944AB08}" uniqueName="8" name="UnitPrice" queryTableFieldId="8"/>
    <tableColumn id="9" xr3:uid="{BE37A137-BF8B-419A-A38C-FE55899A9CBF}" uniqueName="9" name="City" queryTableFieldId="9" dataDxfId="18"/>
    <tableColumn id="10" xr3:uid="{BF2E75AA-132F-409B-AB5B-2CE15CFB4E6E}" uniqueName="10" name="Salesperson" queryTableFieldId="10" dataDxfId="17"/>
    <tableColumn id="11" xr3:uid="{4E57A2CA-D21F-42E8-9DC4-61B79533A948}" uniqueName="11" name="TotalSales" queryTableFieldId="11"/>
    <tableColumn id="13" xr3:uid="{49FCDC21-A442-4E55-9B66-5F7B3A742416}" uniqueName="13" name="Pereformance" queryTableFieldId="13" dataDxfId="0">
      <calculatedColumnFormula>IF(Clean_Data_Analysis_Project[[#This Row],[TotalSales]]&gt;=500,"High","Low")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D9E95-B7BC-4361-BB08-7DEF3D635006}" name="Table3" displayName="Table3" ref="A1:K100" totalsRowShown="0" headerRowDxfId="16" dataDxfId="14" headerRowBorderDxfId="15" tableBorderDxfId="13" totalsRowBorderDxfId="12">
  <autoFilter ref="A1:K100" xr:uid="{A3BD9E95-B7BC-4361-BB08-7DEF3D635006}"/>
  <tableColumns count="11">
    <tableColumn id="1" xr3:uid="{09804C08-6631-4FAD-B5DD-06C1005E61A2}" name="OrderID" dataDxfId="11"/>
    <tableColumn id="2" xr3:uid="{916F9793-B6AC-461C-9185-054FEC724A85}" name="OrderDate" dataDxfId="10"/>
    <tableColumn id="3" xr3:uid="{2F2CFC70-280E-4AD3-A27F-9ABC50535E9F}" name="CustomerName" dataDxfId="9"/>
    <tableColumn id="4" xr3:uid="{C3EE123E-82FB-4CEA-8BC8-3F4CA8BC8B14}" name="Gender" dataDxfId="8"/>
    <tableColumn id="5" xr3:uid="{77DBD7F1-4C14-4CFB-A5C5-C10C5A8FD839}" name="Product" dataDxfId="7"/>
    <tableColumn id="6" xr3:uid="{B37B64D1-51B6-4203-B41B-53DFCB44343E}" name="Category" dataDxfId="6"/>
    <tableColumn id="7" xr3:uid="{1AA33D67-9FD8-4072-B9E7-332A9E618A73}" name="Quantity" dataDxfId="5"/>
    <tableColumn id="8" xr3:uid="{0BA51865-271B-42AE-A6BD-826D074BAADA}" name="UnitPrice" dataDxfId="4"/>
    <tableColumn id="9" xr3:uid="{D161FA1C-8B17-45CA-AD4C-41B1C5CAD577}" name="City" dataDxfId="3"/>
    <tableColumn id="10" xr3:uid="{A628FD5C-5619-443D-97D5-2BCB6BE6A4C5}" name="Salesperson" dataDxfId="2"/>
    <tableColumn id="11" xr3:uid="{97D2908E-7DA1-46E7-8834-F7C6D7BEB7F3}" name="Total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workbookViewId="0">
      <selection activeCell="C23" sqref="C23"/>
    </sheetView>
  </sheetViews>
  <sheetFormatPr defaultRowHeight="15" x14ac:dyDescent="0.25"/>
  <cols>
    <col min="1" max="1" width="10.140625" customWidth="1"/>
    <col min="2" max="2" width="12.42578125" customWidth="1"/>
    <col min="3" max="3" width="17" customWidth="1"/>
    <col min="4" max="4" width="9.85546875" customWidth="1"/>
    <col min="5" max="5" width="10" customWidth="1"/>
    <col min="6" max="6" width="11" customWidth="1"/>
    <col min="7" max="7" width="10.85546875" customWidth="1"/>
    <col min="8" max="8" width="11.42578125" customWidth="1"/>
    <col min="9" max="9" width="7.7109375" bestFit="1" customWidth="1"/>
    <col min="10" max="10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46046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250</v>
      </c>
      <c r="I2" t="s">
        <v>14</v>
      </c>
      <c r="J2" t="s">
        <v>15</v>
      </c>
    </row>
    <row r="3" spans="1:10" x14ac:dyDescent="0.25">
      <c r="A3">
        <v>2</v>
      </c>
      <c r="B3" s="1">
        <v>46205</v>
      </c>
      <c r="C3" t="s">
        <v>16</v>
      </c>
      <c r="D3" t="s">
        <v>17</v>
      </c>
      <c r="E3" t="s">
        <v>18</v>
      </c>
      <c r="F3" t="s">
        <v>13</v>
      </c>
      <c r="G3">
        <v>10</v>
      </c>
      <c r="H3">
        <v>1200</v>
      </c>
      <c r="I3" t="s">
        <v>19</v>
      </c>
      <c r="J3" t="s">
        <v>15</v>
      </c>
    </row>
    <row r="4" spans="1:10" x14ac:dyDescent="0.25">
      <c r="A4">
        <v>3</v>
      </c>
      <c r="B4" s="1">
        <v>46211</v>
      </c>
      <c r="C4" t="s">
        <v>20</v>
      </c>
      <c r="E4" t="s">
        <v>21</v>
      </c>
      <c r="F4" t="s">
        <v>13</v>
      </c>
      <c r="G4">
        <v>9</v>
      </c>
      <c r="H4">
        <v>25</v>
      </c>
      <c r="I4" t="s">
        <v>22</v>
      </c>
      <c r="J4" t="s">
        <v>23</v>
      </c>
    </row>
    <row r="5" spans="1:10" x14ac:dyDescent="0.25">
      <c r="A5">
        <v>4</v>
      </c>
      <c r="B5" s="1">
        <v>46182</v>
      </c>
      <c r="C5" t="s">
        <v>24</v>
      </c>
      <c r="D5" t="s">
        <v>11</v>
      </c>
      <c r="E5" t="s">
        <v>12</v>
      </c>
      <c r="F5" t="s">
        <v>13</v>
      </c>
      <c r="G5">
        <v>7</v>
      </c>
      <c r="H5">
        <v>250</v>
      </c>
      <c r="I5" t="s">
        <v>19</v>
      </c>
      <c r="J5" t="s">
        <v>25</v>
      </c>
    </row>
    <row r="6" spans="1:10" x14ac:dyDescent="0.25">
      <c r="A6">
        <v>5</v>
      </c>
      <c r="B6" s="1">
        <v>46193</v>
      </c>
      <c r="C6" t="s">
        <v>10</v>
      </c>
      <c r="D6" t="s">
        <v>17</v>
      </c>
      <c r="E6" t="s">
        <v>18</v>
      </c>
      <c r="F6" t="s">
        <v>13</v>
      </c>
      <c r="G6">
        <v>6</v>
      </c>
      <c r="H6">
        <v>1200</v>
      </c>
      <c r="I6" t="s">
        <v>26</v>
      </c>
      <c r="J6" t="s">
        <v>27</v>
      </c>
    </row>
    <row r="7" spans="1:10" x14ac:dyDescent="0.25">
      <c r="A7">
        <v>6</v>
      </c>
      <c r="B7" s="1">
        <v>46346</v>
      </c>
      <c r="C7" t="s">
        <v>28</v>
      </c>
      <c r="E7" t="s">
        <v>29</v>
      </c>
      <c r="F7" t="s">
        <v>30</v>
      </c>
      <c r="G7">
        <v>5</v>
      </c>
      <c r="H7">
        <v>5</v>
      </c>
      <c r="I7" t="s">
        <v>14</v>
      </c>
      <c r="J7" t="s">
        <v>23</v>
      </c>
    </row>
    <row r="8" spans="1:10" x14ac:dyDescent="0.25">
      <c r="A8">
        <v>7</v>
      </c>
      <c r="B8" s="1">
        <v>46140</v>
      </c>
      <c r="C8" t="s">
        <v>31</v>
      </c>
      <c r="D8" t="s">
        <v>32</v>
      </c>
      <c r="E8" t="s">
        <v>33</v>
      </c>
      <c r="F8" t="s">
        <v>34</v>
      </c>
      <c r="G8">
        <v>2</v>
      </c>
      <c r="H8">
        <v>180</v>
      </c>
      <c r="I8" t="s">
        <v>35</v>
      </c>
      <c r="J8" t="s">
        <v>23</v>
      </c>
    </row>
    <row r="9" spans="1:10" x14ac:dyDescent="0.25">
      <c r="A9">
        <v>8</v>
      </c>
      <c r="B9" s="1">
        <v>46134</v>
      </c>
      <c r="C9" t="s">
        <v>10</v>
      </c>
      <c r="D9" t="s">
        <v>17</v>
      </c>
      <c r="E9" t="s">
        <v>33</v>
      </c>
      <c r="F9" t="s">
        <v>34</v>
      </c>
      <c r="G9">
        <v>6</v>
      </c>
      <c r="H9">
        <v>180</v>
      </c>
      <c r="I9" t="s">
        <v>14</v>
      </c>
      <c r="J9" t="s">
        <v>23</v>
      </c>
    </row>
    <row r="10" spans="1:10" x14ac:dyDescent="0.25">
      <c r="A10">
        <v>9</v>
      </c>
      <c r="B10" s="1">
        <v>46212</v>
      </c>
      <c r="C10" t="s">
        <v>36</v>
      </c>
      <c r="D10" t="s">
        <v>11</v>
      </c>
      <c r="E10" t="s">
        <v>21</v>
      </c>
      <c r="F10" t="s">
        <v>13</v>
      </c>
      <c r="G10">
        <v>8</v>
      </c>
      <c r="H10">
        <v>25</v>
      </c>
      <c r="I10" t="s">
        <v>22</v>
      </c>
      <c r="J10" t="s">
        <v>27</v>
      </c>
    </row>
    <row r="11" spans="1:10" x14ac:dyDescent="0.25">
      <c r="A11">
        <v>10</v>
      </c>
      <c r="B11" s="1">
        <v>46186</v>
      </c>
      <c r="C11" t="s">
        <v>10</v>
      </c>
      <c r="D11" t="s">
        <v>17</v>
      </c>
      <c r="E11" t="s">
        <v>21</v>
      </c>
      <c r="F11" t="s">
        <v>13</v>
      </c>
      <c r="G11">
        <v>1</v>
      </c>
      <c r="H11">
        <v>25</v>
      </c>
      <c r="I11" t="s">
        <v>14</v>
      </c>
      <c r="J11" t="s">
        <v>37</v>
      </c>
    </row>
    <row r="12" spans="1:10" x14ac:dyDescent="0.25">
      <c r="A12">
        <v>10</v>
      </c>
      <c r="B12" s="1">
        <v>46186</v>
      </c>
      <c r="C12" t="s">
        <v>10</v>
      </c>
      <c r="D12" t="s">
        <v>17</v>
      </c>
      <c r="E12" t="s">
        <v>21</v>
      </c>
      <c r="F12" t="s">
        <v>13</v>
      </c>
      <c r="G12">
        <v>1</v>
      </c>
      <c r="H12">
        <v>25</v>
      </c>
      <c r="I12" t="s">
        <v>14</v>
      </c>
      <c r="J12" t="s">
        <v>37</v>
      </c>
    </row>
    <row r="13" spans="1:10" x14ac:dyDescent="0.25">
      <c r="A13">
        <v>12</v>
      </c>
      <c r="B13" s="1">
        <v>46222</v>
      </c>
      <c r="C13" t="s">
        <v>38</v>
      </c>
      <c r="D13" t="s">
        <v>39</v>
      </c>
      <c r="E13" t="s">
        <v>33</v>
      </c>
      <c r="F13" t="s">
        <v>34</v>
      </c>
      <c r="G13">
        <v>10</v>
      </c>
      <c r="H13">
        <v>180</v>
      </c>
      <c r="I13" t="s">
        <v>40</v>
      </c>
      <c r="J13" t="s">
        <v>25</v>
      </c>
    </row>
    <row r="14" spans="1:10" x14ac:dyDescent="0.25">
      <c r="A14">
        <v>13</v>
      </c>
      <c r="B14" s="1">
        <v>46058</v>
      </c>
      <c r="C14" t="s">
        <v>24</v>
      </c>
      <c r="D14" t="s">
        <v>32</v>
      </c>
      <c r="E14" t="s">
        <v>18</v>
      </c>
      <c r="F14" t="s">
        <v>13</v>
      </c>
      <c r="G14">
        <v>1</v>
      </c>
      <c r="H14">
        <v>1200</v>
      </c>
      <c r="I14" t="s">
        <v>40</v>
      </c>
      <c r="J14" t="s">
        <v>25</v>
      </c>
    </row>
    <row r="15" spans="1:10" x14ac:dyDescent="0.25">
      <c r="A15">
        <v>14</v>
      </c>
      <c r="B15" s="1">
        <v>46293</v>
      </c>
      <c r="C15" t="s">
        <v>16</v>
      </c>
      <c r="D15" t="s">
        <v>17</v>
      </c>
      <c r="E15" t="s">
        <v>29</v>
      </c>
      <c r="F15" t="s">
        <v>30</v>
      </c>
      <c r="G15">
        <v>5</v>
      </c>
      <c r="H15">
        <v>5</v>
      </c>
      <c r="I15" t="s">
        <v>35</v>
      </c>
      <c r="J15" t="s">
        <v>37</v>
      </c>
    </row>
    <row r="16" spans="1:10" x14ac:dyDescent="0.25">
      <c r="A16">
        <v>15</v>
      </c>
      <c r="B16" s="1">
        <v>46209</v>
      </c>
      <c r="C16" t="s">
        <v>20</v>
      </c>
      <c r="D16" t="s">
        <v>17</v>
      </c>
      <c r="E16" t="s">
        <v>18</v>
      </c>
      <c r="F16" t="s">
        <v>13</v>
      </c>
      <c r="G16">
        <v>5</v>
      </c>
      <c r="H16">
        <v>1200</v>
      </c>
      <c r="I16" t="s">
        <v>35</v>
      </c>
      <c r="J16" t="s">
        <v>15</v>
      </c>
    </row>
    <row r="17" spans="1:10" x14ac:dyDescent="0.25">
      <c r="A17">
        <v>16</v>
      </c>
      <c r="B17" s="1">
        <v>46081</v>
      </c>
      <c r="C17" t="s">
        <v>10</v>
      </c>
      <c r="E17" t="s">
        <v>21</v>
      </c>
      <c r="F17" t="s">
        <v>13</v>
      </c>
      <c r="G17">
        <v>9</v>
      </c>
      <c r="H17">
        <v>25</v>
      </c>
      <c r="I17" t="s">
        <v>22</v>
      </c>
      <c r="J17" t="s">
        <v>23</v>
      </c>
    </row>
    <row r="18" spans="1:10" x14ac:dyDescent="0.25">
      <c r="A18">
        <v>17</v>
      </c>
      <c r="B18" s="1">
        <v>46042</v>
      </c>
      <c r="C18" t="s">
        <v>28</v>
      </c>
      <c r="D18" t="s">
        <v>32</v>
      </c>
      <c r="E18" t="s">
        <v>29</v>
      </c>
      <c r="F18" t="s">
        <v>30</v>
      </c>
      <c r="H18">
        <v>5</v>
      </c>
      <c r="I18" t="s">
        <v>22</v>
      </c>
      <c r="J18" t="s">
        <v>37</v>
      </c>
    </row>
    <row r="19" spans="1:10" x14ac:dyDescent="0.25">
      <c r="A19">
        <v>18</v>
      </c>
      <c r="B19" s="1">
        <v>46131</v>
      </c>
      <c r="C19" t="s">
        <v>31</v>
      </c>
      <c r="D19" t="s">
        <v>17</v>
      </c>
      <c r="E19" t="s">
        <v>21</v>
      </c>
      <c r="F19" t="s">
        <v>13</v>
      </c>
      <c r="G19">
        <v>1</v>
      </c>
      <c r="H19">
        <v>25</v>
      </c>
      <c r="I19" t="s">
        <v>22</v>
      </c>
      <c r="J19" t="s">
        <v>15</v>
      </c>
    </row>
    <row r="20" spans="1:10" x14ac:dyDescent="0.25">
      <c r="A20">
        <v>19</v>
      </c>
      <c r="B20" s="1">
        <v>46342</v>
      </c>
      <c r="C20" t="s">
        <v>36</v>
      </c>
      <c r="D20" t="s">
        <v>11</v>
      </c>
      <c r="E20" t="s">
        <v>21</v>
      </c>
      <c r="F20" t="s">
        <v>13</v>
      </c>
      <c r="G20">
        <v>3</v>
      </c>
      <c r="H20">
        <v>25</v>
      </c>
      <c r="I20" t="s">
        <v>26</v>
      </c>
      <c r="J20" t="s">
        <v>23</v>
      </c>
    </row>
    <row r="21" spans="1:10" x14ac:dyDescent="0.25">
      <c r="A21">
        <v>20</v>
      </c>
      <c r="B21" s="1">
        <v>46366</v>
      </c>
      <c r="C21" t="s">
        <v>38</v>
      </c>
      <c r="D21" t="s">
        <v>39</v>
      </c>
      <c r="E21" t="s">
        <v>29</v>
      </c>
      <c r="F21" t="s">
        <v>30</v>
      </c>
      <c r="G21">
        <v>4</v>
      </c>
      <c r="H21">
        <v>5</v>
      </c>
      <c r="I21" t="s">
        <v>19</v>
      </c>
      <c r="J21" t="s">
        <v>23</v>
      </c>
    </row>
    <row r="22" spans="1:10" x14ac:dyDescent="0.25">
      <c r="A22">
        <v>21</v>
      </c>
      <c r="B22" s="1">
        <v>46174</v>
      </c>
      <c r="C22" t="s">
        <v>41</v>
      </c>
      <c r="E22" t="s">
        <v>21</v>
      </c>
      <c r="F22" t="s">
        <v>13</v>
      </c>
      <c r="G22">
        <v>2</v>
      </c>
      <c r="H22">
        <v>25</v>
      </c>
      <c r="I22" t="s">
        <v>19</v>
      </c>
      <c r="J22" t="s">
        <v>27</v>
      </c>
    </row>
    <row r="23" spans="1:10" x14ac:dyDescent="0.25">
      <c r="A23">
        <v>22</v>
      </c>
      <c r="B23" s="1">
        <v>46050</v>
      </c>
      <c r="C23" t="s">
        <v>28</v>
      </c>
      <c r="D23" t="s">
        <v>17</v>
      </c>
      <c r="E23" t="s">
        <v>21</v>
      </c>
      <c r="F23" t="s">
        <v>13</v>
      </c>
      <c r="G23">
        <v>2</v>
      </c>
      <c r="H23">
        <v>25</v>
      </c>
      <c r="I23" t="s">
        <v>26</v>
      </c>
      <c r="J23" t="s">
        <v>23</v>
      </c>
    </row>
    <row r="24" spans="1:10" x14ac:dyDescent="0.25">
      <c r="A24">
        <v>23</v>
      </c>
      <c r="B24" s="1">
        <v>46375</v>
      </c>
      <c r="C24" t="s">
        <v>41</v>
      </c>
      <c r="D24" t="s">
        <v>32</v>
      </c>
      <c r="E24" t="s">
        <v>29</v>
      </c>
      <c r="F24" t="s">
        <v>30</v>
      </c>
      <c r="G24">
        <v>3</v>
      </c>
      <c r="H24">
        <v>5</v>
      </c>
      <c r="I24" t="s">
        <v>26</v>
      </c>
      <c r="J24" t="s">
        <v>23</v>
      </c>
    </row>
    <row r="25" spans="1:10" x14ac:dyDescent="0.25">
      <c r="A25">
        <v>24</v>
      </c>
      <c r="B25" s="1">
        <v>46340</v>
      </c>
      <c r="C25" t="s">
        <v>28</v>
      </c>
      <c r="D25" t="s">
        <v>32</v>
      </c>
      <c r="E25" t="s">
        <v>18</v>
      </c>
      <c r="F25" t="s">
        <v>13</v>
      </c>
      <c r="G25">
        <v>2</v>
      </c>
      <c r="H25">
        <v>1200</v>
      </c>
      <c r="I25" t="s">
        <v>19</v>
      </c>
      <c r="J25" t="s">
        <v>27</v>
      </c>
    </row>
    <row r="26" spans="1:10" x14ac:dyDescent="0.25">
      <c r="A26">
        <v>25</v>
      </c>
      <c r="B26" s="1">
        <v>46367</v>
      </c>
      <c r="C26" t="s">
        <v>31</v>
      </c>
      <c r="D26" t="s">
        <v>11</v>
      </c>
      <c r="E26" t="s">
        <v>18</v>
      </c>
      <c r="F26" t="s">
        <v>13</v>
      </c>
      <c r="G26">
        <v>7</v>
      </c>
      <c r="H26">
        <v>1200</v>
      </c>
      <c r="I26" t="s">
        <v>42</v>
      </c>
      <c r="J26" t="s">
        <v>25</v>
      </c>
    </row>
    <row r="27" spans="1:10" x14ac:dyDescent="0.25">
      <c r="A27">
        <v>26</v>
      </c>
      <c r="B27" s="1">
        <v>46242</v>
      </c>
      <c r="C27" t="s">
        <v>31</v>
      </c>
      <c r="D27" t="s">
        <v>32</v>
      </c>
      <c r="E27" t="s">
        <v>21</v>
      </c>
      <c r="F27" t="s">
        <v>13</v>
      </c>
      <c r="G27">
        <v>5</v>
      </c>
      <c r="H27">
        <v>25</v>
      </c>
      <c r="I27" t="s">
        <v>19</v>
      </c>
      <c r="J27" t="s">
        <v>27</v>
      </c>
    </row>
    <row r="28" spans="1:10" x14ac:dyDescent="0.25">
      <c r="A28">
        <v>27</v>
      </c>
      <c r="B28" s="1">
        <v>46025</v>
      </c>
      <c r="C28" t="s">
        <v>43</v>
      </c>
      <c r="D28" t="s">
        <v>11</v>
      </c>
      <c r="E28" t="s">
        <v>12</v>
      </c>
      <c r="F28" t="s">
        <v>13</v>
      </c>
      <c r="G28">
        <v>9</v>
      </c>
      <c r="H28">
        <v>250</v>
      </c>
      <c r="I28" t="s">
        <v>22</v>
      </c>
      <c r="J28" t="s">
        <v>25</v>
      </c>
    </row>
    <row r="29" spans="1:10" x14ac:dyDescent="0.25">
      <c r="A29">
        <v>28</v>
      </c>
      <c r="B29" s="1">
        <v>46204</v>
      </c>
      <c r="C29" t="s">
        <v>38</v>
      </c>
      <c r="D29" t="s">
        <v>39</v>
      </c>
      <c r="E29" t="s">
        <v>18</v>
      </c>
      <c r="F29" t="s">
        <v>13</v>
      </c>
      <c r="G29">
        <v>3</v>
      </c>
      <c r="H29">
        <v>1200</v>
      </c>
      <c r="I29" t="s">
        <v>35</v>
      </c>
      <c r="J29" t="s">
        <v>25</v>
      </c>
    </row>
    <row r="30" spans="1:10" x14ac:dyDescent="0.25">
      <c r="A30">
        <v>29</v>
      </c>
      <c r="B30" s="1">
        <v>46349</v>
      </c>
      <c r="C30" t="s">
        <v>20</v>
      </c>
      <c r="D30" t="s">
        <v>11</v>
      </c>
      <c r="E30" t="s">
        <v>12</v>
      </c>
      <c r="F30" t="s">
        <v>13</v>
      </c>
      <c r="G30">
        <v>9</v>
      </c>
      <c r="H30">
        <v>250</v>
      </c>
      <c r="I30" t="s">
        <v>19</v>
      </c>
      <c r="J30" t="s">
        <v>15</v>
      </c>
    </row>
    <row r="31" spans="1:10" x14ac:dyDescent="0.25">
      <c r="A31">
        <v>30</v>
      </c>
      <c r="B31" s="1">
        <v>46046</v>
      </c>
      <c r="C31" t="s">
        <v>28</v>
      </c>
      <c r="D31" t="s">
        <v>17</v>
      </c>
      <c r="E31" t="s">
        <v>12</v>
      </c>
      <c r="F31" t="s">
        <v>13</v>
      </c>
      <c r="G31">
        <v>9</v>
      </c>
      <c r="H31">
        <v>250</v>
      </c>
      <c r="I31" t="s">
        <v>22</v>
      </c>
      <c r="J31" t="s">
        <v>15</v>
      </c>
    </row>
    <row r="32" spans="1:10" x14ac:dyDescent="0.25">
      <c r="A32">
        <v>31</v>
      </c>
      <c r="B32" s="1">
        <v>46268</v>
      </c>
      <c r="C32" t="s">
        <v>24</v>
      </c>
      <c r="D32" t="s">
        <v>17</v>
      </c>
      <c r="E32" t="s">
        <v>21</v>
      </c>
      <c r="F32" t="s">
        <v>13</v>
      </c>
      <c r="G32">
        <v>1</v>
      </c>
      <c r="H32">
        <v>25</v>
      </c>
      <c r="I32" t="s">
        <v>42</v>
      </c>
      <c r="J32" t="s">
        <v>25</v>
      </c>
    </row>
    <row r="33" spans="1:10" x14ac:dyDescent="0.25">
      <c r="A33">
        <v>32</v>
      </c>
      <c r="B33" s="1">
        <v>46131</v>
      </c>
      <c r="C33" t="s">
        <v>41</v>
      </c>
      <c r="D33" t="s">
        <v>17</v>
      </c>
      <c r="E33" t="s">
        <v>18</v>
      </c>
      <c r="F33" t="s">
        <v>13</v>
      </c>
      <c r="G33">
        <v>10</v>
      </c>
      <c r="H33">
        <v>1200</v>
      </c>
      <c r="I33" t="s">
        <v>40</v>
      </c>
      <c r="J33" t="s">
        <v>15</v>
      </c>
    </row>
    <row r="34" spans="1:10" x14ac:dyDescent="0.25">
      <c r="A34">
        <v>33</v>
      </c>
      <c r="B34" s="1">
        <v>46149</v>
      </c>
      <c r="C34" t="s">
        <v>28</v>
      </c>
      <c r="D34" t="s">
        <v>11</v>
      </c>
      <c r="E34" t="s">
        <v>29</v>
      </c>
      <c r="F34" t="s">
        <v>30</v>
      </c>
      <c r="G34">
        <v>6</v>
      </c>
      <c r="H34">
        <v>5</v>
      </c>
      <c r="I34" t="s">
        <v>14</v>
      </c>
      <c r="J34" t="s">
        <v>37</v>
      </c>
    </row>
    <row r="35" spans="1:10" x14ac:dyDescent="0.25">
      <c r="A35">
        <v>34</v>
      </c>
      <c r="B35" s="1">
        <v>46054</v>
      </c>
      <c r="C35" t="s">
        <v>20</v>
      </c>
      <c r="E35" t="s">
        <v>44</v>
      </c>
      <c r="F35" t="s">
        <v>34</v>
      </c>
      <c r="G35">
        <v>6</v>
      </c>
      <c r="H35">
        <v>95</v>
      </c>
      <c r="I35" t="s">
        <v>19</v>
      </c>
      <c r="J35" t="s">
        <v>15</v>
      </c>
    </row>
    <row r="36" spans="1:10" x14ac:dyDescent="0.25">
      <c r="A36">
        <v>35</v>
      </c>
      <c r="B36" s="1">
        <v>46147</v>
      </c>
      <c r="C36" t="s">
        <v>28</v>
      </c>
      <c r="D36" t="s">
        <v>17</v>
      </c>
      <c r="E36" t="s">
        <v>21</v>
      </c>
      <c r="F36" t="s">
        <v>13</v>
      </c>
      <c r="G36">
        <v>9</v>
      </c>
      <c r="H36">
        <v>25</v>
      </c>
      <c r="I36" t="s">
        <v>42</v>
      </c>
      <c r="J36" t="s">
        <v>25</v>
      </c>
    </row>
    <row r="37" spans="1:10" x14ac:dyDescent="0.25">
      <c r="A37">
        <v>36</v>
      </c>
      <c r="B37" s="1">
        <v>46321</v>
      </c>
      <c r="C37" t="s">
        <v>36</v>
      </c>
      <c r="D37" t="s">
        <v>17</v>
      </c>
      <c r="E37" t="s">
        <v>29</v>
      </c>
      <c r="F37" t="s">
        <v>30</v>
      </c>
      <c r="G37">
        <v>5</v>
      </c>
      <c r="H37">
        <v>5</v>
      </c>
      <c r="I37" t="s">
        <v>14</v>
      </c>
      <c r="J37" t="s">
        <v>27</v>
      </c>
    </row>
    <row r="38" spans="1:10" x14ac:dyDescent="0.25">
      <c r="A38">
        <v>37</v>
      </c>
      <c r="B38" s="1">
        <v>46057</v>
      </c>
      <c r="C38" t="s">
        <v>36</v>
      </c>
      <c r="D38" t="s">
        <v>11</v>
      </c>
      <c r="E38" t="s">
        <v>21</v>
      </c>
      <c r="F38" t="s">
        <v>13</v>
      </c>
      <c r="G38">
        <v>5</v>
      </c>
      <c r="H38">
        <v>25</v>
      </c>
      <c r="I38" t="s">
        <v>14</v>
      </c>
      <c r="J38" t="s">
        <v>37</v>
      </c>
    </row>
    <row r="39" spans="1:10" x14ac:dyDescent="0.25">
      <c r="A39">
        <v>38</v>
      </c>
      <c r="B39" s="1">
        <v>46281</v>
      </c>
      <c r="C39" t="s">
        <v>10</v>
      </c>
      <c r="D39" t="s">
        <v>17</v>
      </c>
      <c r="E39" t="s">
        <v>21</v>
      </c>
      <c r="F39" t="s">
        <v>13</v>
      </c>
      <c r="G39">
        <v>5</v>
      </c>
      <c r="H39">
        <v>25</v>
      </c>
      <c r="I39" t="s">
        <v>35</v>
      </c>
      <c r="J39" t="s">
        <v>27</v>
      </c>
    </row>
    <row r="40" spans="1:10" x14ac:dyDescent="0.25">
      <c r="A40">
        <v>39</v>
      </c>
      <c r="B40" s="1">
        <v>46102</v>
      </c>
      <c r="C40" t="s">
        <v>10</v>
      </c>
      <c r="D40" t="s">
        <v>11</v>
      </c>
      <c r="E40" t="s">
        <v>18</v>
      </c>
      <c r="F40" t="s">
        <v>13</v>
      </c>
      <c r="G40">
        <v>6</v>
      </c>
      <c r="H40">
        <v>1200</v>
      </c>
      <c r="I40" t="s">
        <v>26</v>
      </c>
      <c r="J40" t="s">
        <v>15</v>
      </c>
    </row>
    <row r="41" spans="1:10" x14ac:dyDescent="0.25">
      <c r="A41">
        <v>40</v>
      </c>
      <c r="B41" s="1">
        <v>46076</v>
      </c>
      <c r="C41" t="s">
        <v>24</v>
      </c>
      <c r="E41" t="s">
        <v>18</v>
      </c>
      <c r="F41" t="s">
        <v>13</v>
      </c>
      <c r="H41">
        <v>1200</v>
      </c>
      <c r="I41" t="s">
        <v>40</v>
      </c>
      <c r="J41" t="s">
        <v>23</v>
      </c>
    </row>
    <row r="42" spans="1:10" x14ac:dyDescent="0.25">
      <c r="A42">
        <v>41</v>
      </c>
      <c r="B42" s="1">
        <v>46032</v>
      </c>
      <c r="C42" t="s">
        <v>28</v>
      </c>
      <c r="D42" t="s">
        <v>17</v>
      </c>
      <c r="E42" t="s">
        <v>44</v>
      </c>
      <c r="F42" t="s">
        <v>34</v>
      </c>
      <c r="G42">
        <v>3</v>
      </c>
      <c r="H42">
        <v>95</v>
      </c>
      <c r="I42" t="s">
        <v>42</v>
      </c>
      <c r="J42" t="s">
        <v>27</v>
      </c>
    </row>
    <row r="43" spans="1:10" x14ac:dyDescent="0.25">
      <c r="A43">
        <v>42</v>
      </c>
      <c r="B43" s="1">
        <v>46223</v>
      </c>
      <c r="C43" t="s">
        <v>24</v>
      </c>
      <c r="D43" t="s">
        <v>11</v>
      </c>
      <c r="E43" t="s">
        <v>33</v>
      </c>
      <c r="F43" t="s">
        <v>34</v>
      </c>
      <c r="G43">
        <v>9</v>
      </c>
      <c r="H43">
        <v>180</v>
      </c>
      <c r="I43" t="s">
        <v>22</v>
      </c>
      <c r="J43" t="s">
        <v>23</v>
      </c>
    </row>
    <row r="44" spans="1:10" x14ac:dyDescent="0.25">
      <c r="A44">
        <v>43</v>
      </c>
      <c r="B44" s="1">
        <v>46105</v>
      </c>
      <c r="C44" t="s">
        <v>28</v>
      </c>
      <c r="D44" t="s">
        <v>32</v>
      </c>
      <c r="E44" t="s">
        <v>44</v>
      </c>
      <c r="F44" t="s">
        <v>34</v>
      </c>
      <c r="G44">
        <v>1</v>
      </c>
      <c r="H44">
        <v>95</v>
      </c>
      <c r="I44" t="s">
        <v>22</v>
      </c>
      <c r="J44" t="s">
        <v>23</v>
      </c>
    </row>
    <row r="45" spans="1:10" x14ac:dyDescent="0.25">
      <c r="A45">
        <v>44</v>
      </c>
      <c r="B45" s="1">
        <v>46360</v>
      </c>
      <c r="C45" t="s">
        <v>38</v>
      </c>
      <c r="D45" t="s">
        <v>17</v>
      </c>
      <c r="E45" t="s">
        <v>33</v>
      </c>
      <c r="F45" t="s">
        <v>34</v>
      </c>
      <c r="G45">
        <v>3</v>
      </c>
      <c r="H45">
        <v>180</v>
      </c>
      <c r="I45" t="s">
        <v>22</v>
      </c>
      <c r="J45" t="s">
        <v>25</v>
      </c>
    </row>
    <row r="46" spans="1:10" x14ac:dyDescent="0.25">
      <c r="A46">
        <v>45</v>
      </c>
      <c r="B46" s="1">
        <v>46120</v>
      </c>
      <c r="C46" t="s">
        <v>16</v>
      </c>
      <c r="D46" t="s">
        <v>11</v>
      </c>
      <c r="E46" t="s">
        <v>33</v>
      </c>
      <c r="F46" t="s">
        <v>34</v>
      </c>
      <c r="G46">
        <v>5</v>
      </c>
      <c r="H46">
        <v>180</v>
      </c>
      <c r="I46" t="s">
        <v>19</v>
      </c>
      <c r="J46" t="s">
        <v>37</v>
      </c>
    </row>
    <row r="47" spans="1:10" x14ac:dyDescent="0.25">
      <c r="A47">
        <v>46</v>
      </c>
      <c r="B47" s="1">
        <v>46225</v>
      </c>
      <c r="C47" t="s">
        <v>36</v>
      </c>
      <c r="D47" t="s">
        <v>39</v>
      </c>
      <c r="E47" t="s">
        <v>33</v>
      </c>
      <c r="F47" t="s">
        <v>34</v>
      </c>
      <c r="G47">
        <v>9</v>
      </c>
      <c r="H47">
        <v>180</v>
      </c>
      <c r="I47" t="s">
        <v>35</v>
      </c>
      <c r="J47" t="s">
        <v>23</v>
      </c>
    </row>
    <row r="48" spans="1:10" x14ac:dyDescent="0.25">
      <c r="A48">
        <v>47</v>
      </c>
      <c r="B48" s="1">
        <v>46026</v>
      </c>
      <c r="C48" t="s">
        <v>41</v>
      </c>
      <c r="D48" t="s">
        <v>32</v>
      </c>
      <c r="E48" t="s">
        <v>29</v>
      </c>
      <c r="F48" t="s">
        <v>30</v>
      </c>
      <c r="G48">
        <v>5</v>
      </c>
      <c r="H48">
        <v>5</v>
      </c>
      <c r="I48" t="s">
        <v>26</v>
      </c>
      <c r="J48" t="s">
        <v>15</v>
      </c>
    </row>
    <row r="49" spans="1:10" x14ac:dyDescent="0.25">
      <c r="A49">
        <v>48</v>
      </c>
      <c r="B49" s="1">
        <v>46222</v>
      </c>
      <c r="C49" t="s">
        <v>43</v>
      </c>
      <c r="D49" t="s">
        <v>39</v>
      </c>
      <c r="E49" t="s">
        <v>29</v>
      </c>
      <c r="F49" t="s">
        <v>30</v>
      </c>
      <c r="H49">
        <v>5</v>
      </c>
      <c r="I49" t="s">
        <v>40</v>
      </c>
      <c r="J49" t="s">
        <v>15</v>
      </c>
    </row>
    <row r="50" spans="1:10" x14ac:dyDescent="0.25">
      <c r="A50">
        <v>49</v>
      </c>
      <c r="B50" s="1">
        <v>46187</v>
      </c>
      <c r="C50" t="s">
        <v>31</v>
      </c>
      <c r="D50" t="s">
        <v>39</v>
      </c>
      <c r="E50" t="s">
        <v>12</v>
      </c>
      <c r="F50" t="s">
        <v>13</v>
      </c>
      <c r="G50">
        <v>4</v>
      </c>
      <c r="H50">
        <v>250</v>
      </c>
      <c r="I50" t="s">
        <v>19</v>
      </c>
      <c r="J50" t="s">
        <v>37</v>
      </c>
    </row>
    <row r="51" spans="1:10" x14ac:dyDescent="0.25">
      <c r="A51">
        <v>50</v>
      </c>
      <c r="B51" s="1">
        <v>46340</v>
      </c>
      <c r="C51" t="s">
        <v>28</v>
      </c>
      <c r="D51" t="s">
        <v>32</v>
      </c>
      <c r="E51" t="s">
        <v>29</v>
      </c>
      <c r="F51" t="s">
        <v>30</v>
      </c>
      <c r="G51">
        <v>5</v>
      </c>
      <c r="H51">
        <v>5</v>
      </c>
      <c r="I51" t="s">
        <v>42</v>
      </c>
      <c r="J51" t="s">
        <v>25</v>
      </c>
    </row>
    <row r="52" spans="1:10" x14ac:dyDescent="0.25">
      <c r="A52">
        <v>51</v>
      </c>
      <c r="B52" s="1">
        <v>46350</v>
      </c>
      <c r="C52" t="s">
        <v>45</v>
      </c>
      <c r="E52" t="s">
        <v>12</v>
      </c>
      <c r="F52" t="s">
        <v>13</v>
      </c>
      <c r="G52">
        <v>7</v>
      </c>
      <c r="H52">
        <v>250</v>
      </c>
      <c r="I52" t="s">
        <v>22</v>
      </c>
      <c r="J52" t="s">
        <v>27</v>
      </c>
    </row>
    <row r="53" spans="1:10" x14ac:dyDescent="0.25">
      <c r="A53">
        <v>52</v>
      </c>
      <c r="B53" s="1">
        <v>46126</v>
      </c>
      <c r="C53" t="s">
        <v>41</v>
      </c>
      <c r="E53" t="s">
        <v>33</v>
      </c>
      <c r="F53" t="s">
        <v>34</v>
      </c>
      <c r="G53">
        <v>5</v>
      </c>
      <c r="H53">
        <v>180</v>
      </c>
      <c r="I53" t="s">
        <v>26</v>
      </c>
      <c r="J53" t="s">
        <v>23</v>
      </c>
    </row>
    <row r="54" spans="1:10" x14ac:dyDescent="0.25">
      <c r="A54">
        <v>53</v>
      </c>
      <c r="B54" s="1">
        <v>46362</v>
      </c>
      <c r="C54" t="s">
        <v>31</v>
      </c>
      <c r="D54" t="s">
        <v>39</v>
      </c>
      <c r="E54" t="s">
        <v>29</v>
      </c>
      <c r="F54" t="s">
        <v>30</v>
      </c>
      <c r="G54">
        <v>8</v>
      </c>
      <c r="H54">
        <v>5</v>
      </c>
      <c r="I54" t="s">
        <v>35</v>
      </c>
      <c r="J54" t="s">
        <v>27</v>
      </c>
    </row>
    <row r="55" spans="1:10" x14ac:dyDescent="0.25">
      <c r="A55">
        <v>54</v>
      </c>
      <c r="B55" s="1">
        <v>46138</v>
      </c>
      <c r="C55" t="s">
        <v>43</v>
      </c>
      <c r="D55" t="s">
        <v>11</v>
      </c>
      <c r="E55" t="s">
        <v>21</v>
      </c>
      <c r="F55" t="s">
        <v>13</v>
      </c>
      <c r="H55">
        <v>25</v>
      </c>
      <c r="I55" t="s">
        <v>26</v>
      </c>
      <c r="J55" t="s">
        <v>15</v>
      </c>
    </row>
    <row r="56" spans="1:10" x14ac:dyDescent="0.25">
      <c r="A56">
        <v>55</v>
      </c>
      <c r="B56" s="1">
        <v>46224</v>
      </c>
      <c r="C56" t="s">
        <v>41</v>
      </c>
      <c r="D56" t="s">
        <v>11</v>
      </c>
      <c r="E56" t="s">
        <v>18</v>
      </c>
      <c r="F56" t="s">
        <v>13</v>
      </c>
      <c r="G56">
        <v>8</v>
      </c>
      <c r="H56">
        <v>1200</v>
      </c>
      <c r="I56" t="s">
        <v>26</v>
      </c>
      <c r="J56" t="s">
        <v>23</v>
      </c>
    </row>
    <row r="57" spans="1:10" x14ac:dyDescent="0.25">
      <c r="A57">
        <v>56</v>
      </c>
      <c r="B57" s="1">
        <v>46078</v>
      </c>
      <c r="C57" t="s">
        <v>38</v>
      </c>
      <c r="D57" t="s">
        <v>11</v>
      </c>
      <c r="E57" t="s">
        <v>21</v>
      </c>
      <c r="F57" t="s">
        <v>13</v>
      </c>
      <c r="G57">
        <v>1</v>
      </c>
      <c r="H57">
        <v>25</v>
      </c>
      <c r="I57" t="s">
        <v>40</v>
      </c>
      <c r="J57" t="s">
        <v>25</v>
      </c>
    </row>
    <row r="58" spans="1:10" x14ac:dyDescent="0.25">
      <c r="A58">
        <v>57</v>
      </c>
      <c r="B58" s="1">
        <v>46140</v>
      </c>
      <c r="C58" t="s">
        <v>31</v>
      </c>
      <c r="D58" t="s">
        <v>32</v>
      </c>
      <c r="E58" t="s">
        <v>18</v>
      </c>
      <c r="F58" t="s">
        <v>13</v>
      </c>
      <c r="G58">
        <v>9</v>
      </c>
      <c r="H58">
        <v>1200</v>
      </c>
      <c r="I58" t="s">
        <v>40</v>
      </c>
      <c r="J58" t="s">
        <v>15</v>
      </c>
    </row>
    <row r="59" spans="1:10" x14ac:dyDescent="0.25">
      <c r="A59">
        <v>58</v>
      </c>
      <c r="B59" s="1">
        <v>46254</v>
      </c>
      <c r="C59" t="s">
        <v>36</v>
      </c>
      <c r="D59" t="s">
        <v>32</v>
      </c>
      <c r="E59" t="s">
        <v>29</v>
      </c>
      <c r="F59" t="s">
        <v>30</v>
      </c>
      <c r="G59">
        <v>6</v>
      </c>
      <c r="H59">
        <v>5</v>
      </c>
      <c r="I59" t="s">
        <v>42</v>
      </c>
      <c r="J59" t="s">
        <v>25</v>
      </c>
    </row>
    <row r="60" spans="1:10" x14ac:dyDescent="0.25">
      <c r="A60">
        <v>59</v>
      </c>
      <c r="B60" s="1">
        <v>46139</v>
      </c>
      <c r="C60" t="s">
        <v>10</v>
      </c>
      <c r="E60" t="s">
        <v>44</v>
      </c>
      <c r="F60" t="s">
        <v>34</v>
      </c>
      <c r="G60">
        <v>5</v>
      </c>
      <c r="H60">
        <v>95</v>
      </c>
      <c r="I60" t="s">
        <v>26</v>
      </c>
      <c r="J60" t="s">
        <v>27</v>
      </c>
    </row>
    <row r="61" spans="1:10" x14ac:dyDescent="0.25">
      <c r="A61">
        <v>60</v>
      </c>
      <c r="B61" s="1">
        <v>46121</v>
      </c>
      <c r="C61" t="s">
        <v>28</v>
      </c>
      <c r="D61" t="s">
        <v>39</v>
      </c>
      <c r="E61" t="s">
        <v>12</v>
      </c>
      <c r="F61" t="s">
        <v>13</v>
      </c>
      <c r="G61">
        <v>5</v>
      </c>
      <c r="H61">
        <v>250</v>
      </c>
      <c r="I61" t="s">
        <v>42</v>
      </c>
      <c r="J61" t="s">
        <v>23</v>
      </c>
    </row>
    <row r="62" spans="1:10" x14ac:dyDescent="0.25">
      <c r="A62">
        <v>61</v>
      </c>
      <c r="B62" s="1">
        <v>46363</v>
      </c>
      <c r="C62" t="s">
        <v>31</v>
      </c>
      <c r="D62" t="s">
        <v>32</v>
      </c>
      <c r="E62" t="s">
        <v>44</v>
      </c>
      <c r="F62" t="s">
        <v>34</v>
      </c>
      <c r="G62">
        <v>3</v>
      </c>
      <c r="H62">
        <v>95</v>
      </c>
      <c r="I62" t="s">
        <v>26</v>
      </c>
      <c r="J62" t="s">
        <v>27</v>
      </c>
    </row>
    <row r="63" spans="1:10" x14ac:dyDescent="0.25">
      <c r="A63">
        <v>62</v>
      </c>
      <c r="B63" s="1">
        <v>46228</v>
      </c>
      <c r="C63" t="s">
        <v>41</v>
      </c>
      <c r="D63" t="s">
        <v>17</v>
      </c>
      <c r="E63" t="s">
        <v>21</v>
      </c>
      <c r="F63" t="s">
        <v>13</v>
      </c>
      <c r="G63">
        <v>7</v>
      </c>
      <c r="H63">
        <v>25</v>
      </c>
      <c r="I63" t="s">
        <v>26</v>
      </c>
      <c r="J63" t="s">
        <v>25</v>
      </c>
    </row>
    <row r="64" spans="1:10" x14ac:dyDescent="0.25">
      <c r="A64">
        <v>63</v>
      </c>
      <c r="B64" s="1">
        <v>46167</v>
      </c>
      <c r="C64" t="s">
        <v>38</v>
      </c>
      <c r="D64" t="s">
        <v>32</v>
      </c>
      <c r="E64" t="s">
        <v>18</v>
      </c>
      <c r="F64" t="s">
        <v>13</v>
      </c>
      <c r="G64">
        <v>6</v>
      </c>
      <c r="H64">
        <v>1200</v>
      </c>
      <c r="I64" t="s">
        <v>22</v>
      </c>
      <c r="J64" t="s">
        <v>15</v>
      </c>
    </row>
    <row r="65" spans="1:10" x14ac:dyDescent="0.25">
      <c r="A65">
        <v>64</v>
      </c>
      <c r="B65" s="1">
        <v>46121</v>
      </c>
      <c r="C65" t="s">
        <v>38</v>
      </c>
      <c r="D65" t="s">
        <v>32</v>
      </c>
      <c r="E65" t="s">
        <v>21</v>
      </c>
      <c r="F65" t="s">
        <v>13</v>
      </c>
      <c r="H65">
        <v>25</v>
      </c>
      <c r="I65" t="s">
        <v>14</v>
      </c>
      <c r="J65" t="s">
        <v>25</v>
      </c>
    </row>
    <row r="66" spans="1:10" x14ac:dyDescent="0.25">
      <c r="A66">
        <v>65</v>
      </c>
      <c r="B66" s="1">
        <v>46239</v>
      </c>
      <c r="C66" t="s">
        <v>41</v>
      </c>
      <c r="E66" t="s">
        <v>12</v>
      </c>
      <c r="F66" t="s">
        <v>13</v>
      </c>
      <c r="H66">
        <v>250</v>
      </c>
      <c r="I66" t="s">
        <v>40</v>
      </c>
      <c r="J66" t="s">
        <v>27</v>
      </c>
    </row>
    <row r="67" spans="1:10" x14ac:dyDescent="0.25">
      <c r="A67">
        <v>66</v>
      </c>
      <c r="B67" s="1">
        <v>46109</v>
      </c>
      <c r="C67" t="s">
        <v>20</v>
      </c>
      <c r="D67" t="s">
        <v>11</v>
      </c>
      <c r="E67" t="s">
        <v>18</v>
      </c>
      <c r="F67" t="s">
        <v>13</v>
      </c>
      <c r="G67">
        <v>7</v>
      </c>
      <c r="H67">
        <v>1200</v>
      </c>
      <c r="I67" t="s">
        <v>42</v>
      </c>
      <c r="J67" t="s">
        <v>25</v>
      </c>
    </row>
    <row r="68" spans="1:10" x14ac:dyDescent="0.25">
      <c r="A68">
        <v>67</v>
      </c>
      <c r="B68" s="1">
        <v>46212</v>
      </c>
      <c r="C68" t="s">
        <v>38</v>
      </c>
      <c r="D68" t="s">
        <v>39</v>
      </c>
      <c r="E68" t="s">
        <v>33</v>
      </c>
      <c r="F68" t="s">
        <v>34</v>
      </c>
      <c r="G68">
        <v>6</v>
      </c>
      <c r="H68">
        <v>180</v>
      </c>
      <c r="I68" t="s">
        <v>14</v>
      </c>
      <c r="J68" t="s">
        <v>15</v>
      </c>
    </row>
    <row r="69" spans="1:10" x14ac:dyDescent="0.25">
      <c r="A69">
        <v>68</v>
      </c>
      <c r="B69" s="1">
        <v>46133</v>
      </c>
      <c r="C69" t="s">
        <v>31</v>
      </c>
      <c r="D69" t="s">
        <v>17</v>
      </c>
      <c r="E69" t="s">
        <v>18</v>
      </c>
      <c r="F69" t="s">
        <v>13</v>
      </c>
      <c r="G69">
        <v>6</v>
      </c>
      <c r="H69">
        <v>1200</v>
      </c>
      <c r="I69" t="s">
        <v>42</v>
      </c>
      <c r="J69" t="s">
        <v>27</v>
      </c>
    </row>
    <row r="70" spans="1:10" x14ac:dyDescent="0.25">
      <c r="A70">
        <v>69</v>
      </c>
      <c r="B70" s="1">
        <v>46117</v>
      </c>
      <c r="C70" t="s">
        <v>20</v>
      </c>
      <c r="D70" t="s">
        <v>17</v>
      </c>
      <c r="E70" t="s">
        <v>29</v>
      </c>
      <c r="F70" t="s">
        <v>30</v>
      </c>
      <c r="G70">
        <v>3</v>
      </c>
      <c r="H70">
        <v>5</v>
      </c>
      <c r="I70" t="s">
        <v>14</v>
      </c>
      <c r="J70" t="s">
        <v>37</v>
      </c>
    </row>
    <row r="71" spans="1:10" x14ac:dyDescent="0.25">
      <c r="A71">
        <v>70</v>
      </c>
      <c r="B71" s="1">
        <v>46315</v>
      </c>
      <c r="C71" t="s">
        <v>31</v>
      </c>
      <c r="D71" t="s">
        <v>11</v>
      </c>
      <c r="E71" t="s">
        <v>33</v>
      </c>
      <c r="F71" t="s">
        <v>34</v>
      </c>
      <c r="G71">
        <v>3</v>
      </c>
      <c r="H71">
        <v>180</v>
      </c>
      <c r="I71" t="s">
        <v>19</v>
      </c>
      <c r="J71" t="s">
        <v>37</v>
      </c>
    </row>
    <row r="72" spans="1:10" x14ac:dyDescent="0.25">
      <c r="A72">
        <v>71</v>
      </c>
      <c r="B72" s="1">
        <v>46226</v>
      </c>
      <c r="C72" t="s">
        <v>43</v>
      </c>
      <c r="D72" t="s">
        <v>17</v>
      </c>
      <c r="E72" t="s">
        <v>29</v>
      </c>
      <c r="F72" t="s">
        <v>30</v>
      </c>
      <c r="G72">
        <v>7</v>
      </c>
      <c r="H72">
        <v>5</v>
      </c>
      <c r="J72" t="s">
        <v>27</v>
      </c>
    </row>
    <row r="73" spans="1:10" x14ac:dyDescent="0.25">
      <c r="A73">
        <v>72</v>
      </c>
      <c r="B73" s="1">
        <v>46346</v>
      </c>
      <c r="C73" t="s">
        <v>31</v>
      </c>
      <c r="E73" t="s">
        <v>12</v>
      </c>
      <c r="F73" t="s">
        <v>13</v>
      </c>
      <c r="G73">
        <v>5</v>
      </c>
      <c r="H73">
        <v>250</v>
      </c>
      <c r="I73" t="s">
        <v>26</v>
      </c>
      <c r="J73" t="s">
        <v>37</v>
      </c>
    </row>
    <row r="74" spans="1:10" x14ac:dyDescent="0.25">
      <c r="A74">
        <v>73</v>
      </c>
      <c r="B74" s="1">
        <v>46337</v>
      </c>
      <c r="C74" t="s">
        <v>16</v>
      </c>
      <c r="D74" t="s">
        <v>32</v>
      </c>
      <c r="E74" t="s">
        <v>18</v>
      </c>
      <c r="F74" t="s">
        <v>13</v>
      </c>
      <c r="G74">
        <v>9</v>
      </c>
      <c r="H74">
        <v>1200</v>
      </c>
      <c r="I74" t="s">
        <v>35</v>
      </c>
      <c r="J74" t="s">
        <v>25</v>
      </c>
    </row>
    <row r="75" spans="1:10" x14ac:dyDescent="0.25">
      <c r="A75">
        <v>74</v>
      </c>
      <c r="B75" s="1">
        <v>46209</v>
      </c>
      <c r="C75" t="s">
        <v>36</v>
      </c>
      <c r="D75" t="s">
        <v>39</v>
      </c>
      <c r="E75" t="s">
        <v>12</v>
      </c>
      <c r="F75" t="s">
        <v>13</v>
      </c>
      <c r="G75">
        <v>3</v>
      </c>
      <c r="H75">
        <v>250</v>
      </c>
      <c r="I75" t="s">
        <v>22</v>
      </c>
      <c r="J75" t="s">
        <v>25</v>
      </c>
    </row>
    <row r="76" spans="1:10" x14ac:dyDescent="0.25">
      <c r="A76">
        <v>75</v>
      </c>
      <c r="B76" s="1">
        <v>46375</v>
      </c>
      <c r="C76" t="s">
        <v>10</v>
      </c>
      <c r="D76" t="s">
        <v>39</v>
      </c>
      <c r="E76" t="s">
        <v>44</v>
      </c>
      <c r="F76" t="s">
        <v>34</v>
      </c>
      <c r="G76">
        <v>7</v>
      </c>
      <c r="H76">
        <v>95</v>
      </c>
      <c r="I76" t="s">
        <v>19</v>
      </c>
      <c r="J76" t="s">
        <v>37</v>
      </c>
    </row>
    <row r="77" spans="1:10" x14ac:dyDescent="0.25">
      <c r="A77">
        <v>76</v>
      </c>
      <c r="B77" s="1">
        <v>46253</v>
      </c>
      <c r="C77" t="s">
        <v>41</v>
      </c>
      <c r="D77" t="s">
        <v>32</v>
      </c>
      <c r="E77" t="s">
        <v>44</v>
      </c>
      <c r="F77" t="s">
        <v>34</v>
      </c>
      <c r="G77">
        <v>4</v>
      </c>
      <c r="H77">
        <v>95</v>
      </c>
      <c r="I77" t="s">
        <v>35</v>
      </c>
      <c r="J77" t="s">
        <v>23</v>
      </c>
    </row>
    <row r="78" spans="1:10" x14ac:dyDescent="0.25">
      <c r="A78">
        <v>77</v>
      </c>
      <c r="B78" s="1">
        <v>46199</v>
      </c>
      <c r="C78" t="s">
        <v>10</v>
      </c>
      <c r="D78" t="s">
        <v>39</v>
      </c>
      <c r="E78" t="s">
        <v>44</v>
      </c>
      <c r="F78" t="s">
        <v>34</v>
      </c>
      <c r="G78">
        <v>4</v>
      </c>
      <c r="H78">
        <v>95</v>
      </c>
      <c r="I78" t="s">
        <v>35</v>
      </c>
      <c r="J78" t="s">
        <v>15</v>
      </c>
    </row>
    <row r="79" spans="1:10" x14ac:dyDescent="0.25">
      <c r="A79">
        <v>78</v>
      </c>
      <c r="B79" s="1">
        <v>46115</v>
      </c>
      <c r="C79" t="s">
        <v>43</v>
      </c>
      <c r="D79" t="s">
        <v>32</v>
      </c>
      <c r="E79" t="s">
        <v>18</v>
      </c>
      <c r="F79" t="s">
        <v>13</v>
      </c>
      <c r="G79">
        <v>9</v>
      </c>
      <c r="H79">
        <v>1200</v>
      </c>
      <c r="I79" t="s">
        <v>14</v>
      </c>
      <c r="J79" t="s">
        <v>25</v>
      </c>
    </row>
    <row r="80" spans="1:10" x14ac:dyDescent="0.25">
      <c r="A80">
        <v>79</v>
      </c>
      <c r="B80" s="1">
        <v>46260</v>
      </c>
      <c r="C80" t="s">
        <v>16</v>
      </c>
      <c r="D80" t="s">
        <v>17</v>
      </c>
      <c r="E80" t="s">
        <v>12</v>
      </c>
      <c r="F80" t="s">
        <v>13</v>
      </c>
      <c r="G80">
        <v>8</v>
      </c>
      <c r="H80">
        <v>250</v>
      </c>
      <c r="I80" t="s">
        <v>42</v>
      </c>
      <c r="J80" t="s">
        <v>37</v>
      </c>
    </row>
    <row r="81" spans="1:10" x14ac:dyDescent="0.25">
      <c r="A81">
        <v>80</v>
      </c>
      <c r="B81" s="1">
        <v>46189</v>
      </c>
      <c r="C81" t="s">
        <v>36</v>
      </c>
      <c r="E81" t="s">
        <v>12</v>
      </c>
      <c r="F81" t="s">
        <v>13</v>
      </c>
      <c r="G81">
        <v>10</v>
      </c>
      <c r="H81">
        <v>250</v>
      </c>
      <c r="I81" t="s">
        <v>40</v>
      </c>
      <c r="J81" t="s">
        <v>37</v>
      </c>
    </row>
    <row r="82" spans="1:10" x14ac:dyDescent="0.25">
      <c r="A82">
        <v>81</v>
      </c>
      <c r="B82" s="1" t="s">
        <v>46</v>
      </c>
      <c r="C82" t="s">
        <v>10</v>
      </c>
      <c r="D82" t="s">
        <v>11</v>
      </c>
      <c r="E82" t="s">
        <v>33</v>
      </c>
      <c r="F82" t="s">
        <v>34</v>
      </c>
      <c r="G82">
        <v>8</v>
      </c>
      <c r="H82">
        <v>180</v>
      </c>
      <c r="I82" t="s">
        <v>19</v>
      </c>
      <c r="J82" t="s">
        <v>15</v>
      </c>
    </row>
    <row r="83" spans="1:10" x14ac:dyDescent="0.25">
      <c r="A83">
        <v>82</v>
      </c>
      <c r="B83" s="1">
        <v>46119</v>
      </c>
      <c r="C83" t="s">
        <v>20</v>
      </c>
      <c r="D83" t="s">
        <v>39</v>
      </c>
      <c r="E83" t="s">
        <v>12</v>
      </c>
      <c r="F83" t="s">
        <v>13</v>
      </c>
      <c r="G83">
        <v>3</v>
      </c>
      <c r="H83">
        <v>250</v>
      </c>
      <c r="I83" t="s">
        <v>40</v>
      </c>
      <c r="J83" t="s">
        <v>15</v>
      </c>
    </row>
    <row r="84" spans="1:10" x14ac:dyDescent="0.25">
      <c r="A84">
        <v>83</v>
      </c>
      <c r="B84" s="1">
        <v>46122</v>
      </c>
      <c r="C84" t="s">
        <v>43</v>
      </c>
      <c r="D84" t="s">
        <v>39</v>
      </c>
      <c r="E84" t="s">
        <v>33</v>
      </c>
      <c r="F84" t="s">
        <v>34</v>
      </c>
      <c r="G84">
        <v>2</v>
      </c>
      <c r="I84" t="s">
        <v>40</v>
      </c>
      <c r="J84" t="s">
        <v>23</v>
      </c>
    </row>
    <row r="85" spans="1:10" x14ac:dyDescent="0.25">
      <c r="A85">
        <v>84</v>
      </c>
      <c r="B85" s="1">
        <v>46040</v>
      </c>
      <c r="C85" t="s">
        <v>10</v>
      </c>
      <c r="D85" t="s">
        <v>11</v>
      </c>
      <c r="E85" t="s">
        <v>33</v>
      </c>
      <c r="F85" t="s">
        <v>34</v>
      </c>
      <c r="G85">
        <v>1</v>
      </c>
      <c r="H85">
        <v>180</v>
      </c>
      <c r="I85" t="s">
        <v>19</v>
      </c>
      <c r="J85" t="s">
        <v>27</v>
      </c>
    </row>
    <row r="86" spans="1:10" x14ac:dyDescent="0.25">
      <c r="A86">
        <v>85</v>
      </c>
      <c r="B86" s="1">
        <v>46250</v>
      </c>
      <c r="C86" t="s">
        <v>20</v>
      </c>
      <c r="D86" t="s">
        <v>39</v>
      </c>
      <c r="E86" t="s">
        <v>29</v>
      </c>
      <c r="F86" t="s">
        <v>30</v>
      </c>
      <c r="G86">
        <v>5</v>
      </c>
      <c r="H86">
        <v>5</v>
      </c>
      <c r="I86" t="s">
        <v>22</v>
      </c>
      <c r="J86" t="s">
        <v>25</v>
      </c>
    </row>
    <row r="87" spans="1:10" x14ac:dyDescent="0.25">
      <c r="A87">
        <v>86</v>
      </c>
      <c r="B87" s="1">
        <v>46219</v>
      </c>
      <c r="C87" t="s">
        <v>31</v>
      </c>
      <c r="E87" t="s">
        <v>18</v>
      </c>
      <c r="F87" t="s">
        <v>13</v>
      </c>
      <c r="G87">
        <v>2</v>
      </c>
      <c r="H87">
        <v>1200</v>
      </c>
      <c r="I87" t="s">
        <v>42</v>
      </c>
      <c r="J87" t="s">
        <v>15</v>
      </c>
    </row>
    <row r="88" spans="1:10" x14ac:dyDescent="0.25">
      <c r="A88">
        <v>87</v>
      </c>
      <c r="B88" s="1">
        <v>46116</v>
      </c>
      <c r="C88" t="s">
        <v>36</v>
      </c>
      <c r="D88" t="s">
        <v>32</v>
      </c>
      <c r="E88" t="s">
        <v>33</v>
      </c>
      <c r="F88" t="s">
        <v>34</v>
      </c>
      <c r="G88">
        <v>2</v>
      </c>
      <c r="H88">
        <v>180</v>
      </c>
      <c r="I88" t="s">
        <v>42</v>
      </c>
      <c r="J88" t="s">
        <v>15</v>
      </c>
    </row>
    <row r="89" spans="1:10" x14ac:dyDescent="0.25">
      <c r="A89">
        <v>88</v>
      </c>
      <c r="B89" s="1">
        <v>46244</v>
      </c>
      <c r="C89" t="s">
        <v>41</v>
      </c>
      <c r="D89" t="s">
        <v>32</v>
      </c>
      <c r="E89" t="s">
        <v>44</v>
      </c>
      <c r="F89" t="s">
        <v>34</v>
      </c>
      <c r="G89">
        <v>8</v>
      </c>
      <c r="H89">
        <v>95</v>
      </c>
      <c r="I89" t="s">
        <v>40</v>
      </c>
      <c r="J89" t="s">
        <v>27</v>
      </c>
    </row>
    <row r="90" spans="1:10" x14ac:dyDescent="0.25">
      <c r="A90">
        <v>89</v>
      </c>
      <c r="B90" s="1">
        <v>46164</v>
      </c>
      <c r="C90" t="s">
        <v>31</v>
      </c>
      <c r="D90" t="s">
        <v>11</v>
      </c>
      <c r="E90" t="s">
        <v>21</v>
      </c>
      <c r="F90" t="s">
        <v>13</v>
      </c>
      <c r="G90">
        <v>4</v>
      </c>
      <c r="H90">
        <v>25</v>
      </c>
      <c r="I90" t="s">
        <v>42</v>
      </c>
      <c r="J90" t="s">
        <v>27</v>
      </c>
    </row>
    <row r="91" spans="1:10" x14ac:dyDescent="0.25">
      <c r="A91">
        <v>90</v>
      </c>
      <c r="B91" s="1">
        <v>46376</v>
      </c>
      <c r="C91" t="s">
        <v>20</v>
      </c>
      <c r="D91" t="s">
        <v>39</v>
      </c>
      <c r="E91" t="s">
        <v>44</v>
      </c>
      <c r="F91" t="s">
        <v>34</v>
      </c>
      <c r="H91">
        <v>95</v>
      </c>
      <c r="I91" t="s">
        <v>35</v>
      </c>
      <c r="J91" t="s">
        <v>25</v>
      </c>
    </row>
    <row r="92" spans="1:10" x14ac:dyDescent="0.25">
      <c r="A92">
        <v>91</v>
      </c>
      <c r="B92" s="1">
        <v>46168</v>
      </c>
      <c r="C92" t="s">
        <v>41</v>
      </c>
      <c r="D92" t="s">
        <v>11</v>
      </c>
      <c r="E92" t="s">
        <v>18</v>
      </c>
      <c r="F92" t="s">
        <v>13</v>
      </c>
      <c r="G92">
        <v>4</v>
      </c>
      <c r="H92">
        <v>1200</v>
      </c>
      <c r="I92" t="s">
        <v>14</v>
      </c>
      <c r="J92" t="s">
        <v>23</v>
      </c>
    </row>
    <row r="93" spans="1:10" x14ac:dyDescent="0.25">
      <c r="A93">
        <v>92</v>
      </c>
      <c r="B93" s="1">
        <v>46055</v>
      </c>
      <c r="C93" t="s">
        <v>24</v>
      </c>
      <c r="D93" t="s">
        <v>39</v>
      </c>
      <c r="E93" t="s">
        <v>33</v>
      </c>
      <c r="F93" t="s">
        <v>34</v>
      </c>
      <c r="G93">
        <v>3</v>
      </c>
      <c r="H93">
        <v>180</v>
      </c>
      <c r="I93" t="s">
        <v>35</v>
      </c>
      <c r="J93" t="s">
        <v>25</v>
      </c>
    </row>
    <row r="94" spans="1:10" x14ac:dyDescent="0.25">
      <c r="A94">
        <v>93</v>
      </c>
      <c r="B94" s="1">
        <v>46366</v>
      </c>
      <c r="C94" t="s">
        <v>38</v>
      </c>
      <c r="D94" t="s">
        <v>39</v>
      </c>
      <c r="E94" t="s">
        <v>18</v>
      </c>
      <c r="F94" t="s">
        <v>13</v>
      </c>
      <c r="G94">
        <v>8</v>
      </c>
      <c r="H94">
        <v>1200</v>
      </c>
      <c r="I94" t="s">
        <v>19</v>
      </c>
      <c r="J94" t="s">
        <v>15</v>
      </c>
    </row>
    <row r="95" spans="1:10" x14ac:dyDescent="0.25">
      <c r="A95">
        <v>94</v>
      </c>
      <c r="B95" s="1">
        <v>46367</v>
      </c>
      <c r="C95" t="s">
        <v>41</v>
      </c>
      <c r="D95" t="s">
        <v>39</v>
      </c>
      <c r="E95" t="s">
        <v>18</v>
      </c>
      <c r="F95" t="s">
        <v>13</v>
      </c>
      <c r="H95">
        <v>1200</v>
      </c>
      <c r="I95" t="s">
        <v>14</v>
      </c>
      <c r="J95" t="s">
        <v>15</v>
      </c>
    </row>
    <row r="96" spans="1:10" x14ac:dyDescent="0.25">
      <c r="A96">
        <v>95</v>
      </c>
      <c r="B96" s="1">
        <v>46353</v>
      </c>
      <c r="C96" t="s">
        <v>10</v>
      </c>
      <c r="E96" t="s">
        <v>29</v>
      </c>
      <c r="F96" t="s">
        <v>30</v>
      </c>
      <c r="H96">
        <v>5</v>
      </c>
      <c r="I96" t="s">
        <v>26</v>
      </c>
      <c r="J96" t="s">
        <v>15</v>
      </c>
    </row>
    <row r="97" spans="1:10" x14ac:dyDescent="0.25">
      <c r="A97">
        <v>96</v>
      </c>
      <c r="B97" s="1">
        <v>46148</v>
      </c>
      <c r="C97" t="s">
        <v>41</v>
      </c>
      <c r="D97" t="s">
        <v>32</v>
      </c>
      <c r="E97" t="s">
        <v>12</v>
      </c>
      <c r="F97" t="s">
        <v>13</v>
      </c>
      <c r="G97">
        <v>8</v>
      </c>
      <c r="H97">
        <v>250</v>
      </c>
      <c r="I97" t="s">
        <v>19</v>
      </c>
      <c r="J97" t="s">
        <v>25</v>
      </c>
    </row>
    <row r="98" spans="1:10" x14ac:dyDescent="0.25">
      <c r="A98">
        <v>97</v>
      </c>
      <c r="B98" s="1">
        <v>46184</v>
      </c>
      <c r="C98" t="s">
        <v>31</v>
      </c>
      <c r="D98" t="s">
        <v>11</v>
      </c>
      <c r="E98" t="s">
        <v>33</v>
      </c>
      <c r="F98" t="s">
        <v>34</v>
      </c>
      <c r="G98">
        <v>7</v>
      </c>
      <c r="H98">
        <v>180</v>
      </c>
      <c r="I98" t="s">
        <v>35</v>
      </c>
      <c r="J98" t="s">
        <v>25</v>
      </c>
    </row>
    <row r="99" spans="1:10" x14ac:dyDescent="0.25">
      <c r="A99">
        <v>98</v>
      </c>
      <c r="B99" s="1">
        <v>46237</v>
      </c>
      <c r="C99" t="s">
        <v>28</v>
      </c>
      <c r="D99" t="s">
        <v>39</v>
      </c>
      <c r="E99" t="s">
        <v>29</v>
      </c>
      <c r="F99" t="s">
        <v>30</v>
      </c>
      <c r="G99">
        <v>1</v>
      </c>
      <c r="H99">
        <v>5</v>
      </c>
      <c r="I99" t="s">
        <v>26</v>
      </c>
      <c r="J99" t="s">
        <v>15</v>
      </c>
    </row>
    <row r="100" spans="1:10" x14ac:dyDescent="0.25">
      <c r="A100">
        <v>99</v>
      </c>
      <c r="B100" s="1">
        <v>46248</v>
      </c>
      <c r="C100" t="s">
        <v>16</v>
      </c>
      <c r="D100" t="s">
        <v>11</v>
      </c>
      <c r="E100" t="s">
        <v>18</v>
      </c>
      <c r="F100" t="s">
        <v>13</v>
      </c>
      <c r="G100">
        <v>9</v>
      </c>
      <c r="H100">
        <v>1200</v>
      </c>
      <c r="I100" t="s">
        <v>26</v>
      </c>
      <c r="J100" t="s">
        <v>25</v>
      </c>
    </row>
    <row r="101" spans="1:10" x14ac:dyDescent="0.25">
      <c r="A101">
        <v>100</v>
      </c>
      <c r="B101" s="1">
        <v>46160</v>
      </c>
      <c r="C101" t="s">
        <v>24</v>
      </c>
      <c r="D101" t="s">
        <v>39</v>
      </c>
      <c r="E101" t="s">
        <v>18</v>
      </c>
      <c r="F101" t="s">
        <v>13</v>
      </c>
      <c r="G101">
        <v>4</v>
      </c>
      <c r="H101">
        <v>1200</v>
      </c>
      <c r="I101" t="s">
        <v>19</v>
      </c>
      <c r="J1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C960-4E8B-40E7-96E0-285A567DC763}">
  <dimension ref="A1:L100"/>
  <sheetViews>
    <sheetView topLeftCell="A2" workbookViewId="0">
      <selection activeCell="B12" sqref="B12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7.28515625" bestFit="1" customWidth="1"/>
    <col min="4" max="4" width="10" bestFit="1" customWidth="1"/>
    <col min="5" max="5" width="10.140625" bestFit="1" customWidth="1"/>
    <col min="6" max="6" width="11.140625" bestFit="1" customWidth="1"/>
    <col min="7" max="7" width="11" bestFit="1" customWidth="1"/>
    <col min="8" max="8" width="11.5703125" bestFit="1" customWidth="1"/>
    <col min="9" max="9" width="7.85546875" bestFit="1" customWidth="1"/>
    <col min="10" max="10" width="14" bestFit="1" customWidth="1"/>
    <col min="11" max="11" width="12.28515625" bestFit="1" customWidth="1"/>
    <col min="12" max="12" width="18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</v>
      </c>
      <c r="L1" t="s">
        <v>59</v>
      </c>
    </row>
    <row r="2" spans="1:12" x14ac:dyDescent="0.25">
      <c r="A2">
        <v>1</v>
      </c>
      <c r="B2" s="1">
        <v>46046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250</v>
      </c>
      <c r="I2" t="s">
        <v>14</v>
      </c>
      <c r="J2" t="s">
        <v>15</v>
      </c>
      <c r="K2">
        <v>500</v>
      </c>
      <c r="L2" t="str">
        <f>IF(Clean_Data_Analysis_Project[[#This Row],[TotalSales]]&gt;=500,"High","Low")</f>
        <v>High</v>
      </c>
    </row>
    <row r="3" spans="1:12" x14ac:dyDescent="0.25">
      <c r="A3">
        <v>2</v>
      </c>
      <c r="B3" s="1">
        <v>46205</v>
      </c>
      <c r="C3" t="s">
        <v>16</v>
      </c>
      <c r="D3" t="s">
        <v>17</v>
      </c>
      <c r="E3" t="s">
        <v>18</v>
      </c>
      <c r="F3" t="s">
        <v>13</v>
      </c>
      <c r="G3">
        <v>10</v>
      </c>
      <c r="H3">
        <v>1200</v>
      </c>
      <c r="I3" t="s">
        <v>19</v>
      </c>
      <c r="J3" t="s">
        <v>15</v>
      </c>
      <c r="K3">
        <v>12000</v>
      </c>
      <c r="L3" t="str">
        <f>IF(Clean_Data_Analysis_Project[[#This Row],[TotalSales]]&gt;=500,"High","Low")</f>
        <v>High</v>
      </c>
    </row>
    <row r="4" spans="1:12" x14ac:dyDescent="0.25">
      <c r="A4">
        <v>3</v>
      </c>
      <c r="B4" s="1">
        <v>46211</v>
      </c>
      <c r="C4" t="s">
        <v>20</v>
      </c>
      <c r="D4" t="s">
        <v>47</v>
      </c>
      <c r="E4" t="s">
        <v>21</v>
      </c>
      <c r="F4" t="s">
        <v>13</v>
      </c>
      <c r="G4">
        <v>9</v>
      </c>
      <c r="H4">
        <v>25</v>
      </c>
      <c r="I4" t="s">
        <v>48</v>
      </c>
      <c r="J4" t="s">
        <v>23</v>
      </c>
      <c r="K4">
        <v>225</v>
      </c>
      <c r="L4" t="str">
        <f>IF(Clean_Data_Analysis_Project[[#This Row],[TotalSales]]&gt;=500,"High","Low")</f>
        <v>Low</v>
      </c>
    </row>
    <row r="5" spans="1:12" x14ac:dyDescent="0.25">
      <c r="A5">
        <v>4</v>
      </c>
      <c r="B5" s="1">
        <v>46182</v>
      </c>
      <c r="C5" t="s">
        <v>24</v>
      </c>
      <c r="D5" t="s">
        <v>11</v>
      </c>
      <c r="E5" t="s">
        <v>12</v>
      </c>
      <c r="F5" t="s">
        <v>13</v>
      </c>
      <c r="G5">
        <v>7</v>
      </c>
      <c r="H5">
        <v>250</v>
      </c>
      <c r="I5" t="s">
        <v>19</v>
      </c>
      <c r="J5" t="s">
        <v>25</v>
      </c>
      <c r="K5">
        <v>1750</v>
      </c>
      <c r="L5" t="str">
        <f>IF(Clean_Data_Analysis_Project[[#This Row],[TotalSales]]&gt;=500,"High","Low")</f>
        <v>High</v>
      </c>
    </row>
    <row r="6" spans="1:12" x14ac:dyDescent="0.25">
      <c r="A6">
        <v>5</v>
      </c>
      <c r="B6" s="1">
        <v>46193</v>
      </c>
      <c r="C6" t="s">
        <v>10</v>
      </c>
      <c r="D6" t="s">
        <v>17</v>
      </c>
      <c r="E6" t="s">
        <v>18</v>
      </c>
      <c r="F6" t="s">
        <v>13</v>
      </c>
      <c r="G6">
        <v>6</v>
      </c>
      <c r="H6">
        <v>1200</v>
      </c>
      <c r="I6" t="s">
        <v>26</v>
      </c>
      <c r="J6" t="s">
        <v>27</v>
      </c>
      <c r="K6">
        <v>7200</v>
      </c>
      <c r="L6" t="str">
        <f>IF(Clean_Data_Analysis_Project[[#This Row],[TotalSales]]&gt;=500,"High","Low")</f>
        <v>High</v>
      </c>
    </row>
    <row r="7" spans="1:12" x14ac:dyDescent="0.25">
      <c r="A7">
        <v>6</v>
      </c>
      <c r="B7" s="1">
        <v>46346</v>
      </c>
      <c r="C7" t="s">
        <v>28</v>
      </c>
      <c r="D7" t="s">
        <v>47</v>
      </c>
      <c r="E7" t="s">
        <v>29</v>
      </c>
      <c r="F7" t="s">
        <v>30</v>
      </c>
      <c r="G7">
        <v>5</v>
      </c>
      <c r="H7">
        <v>5</v>
      </c>
      <c r="I7" t="s">
        <v>14</v>
      </c>
      <c r="J7" t="s">
        <v>23</v>
      </c>
      <c r="K7">
        <v>25</v>
      </c>
      <c r="L7" t="str">
        <f>IF(Clean_Data_Analysis_Project[[#This Row],[TotalSales]]&gt;=500,"High","Low")</f>
        <v>Low</v>
      </c>
    </row>
    <row r="8" spans="1:12" x14ac:dyDescent="0.25">
      <c r="A8">
        <v>7</v>
      </c>
      <c r="B8" s="1">
        <v>46140</v>
      </c>
      <c r="C8" t="s">
        <v>49</v>
      </c>
      <c r="D8" t="s">
        <v>11</v>
      </c>
      <c r="E8" t="s">
        <v>33</v>
      </c>
      <c r="F8" t="s">
        <v>34</v>
      </c>
      <c r="G8">
        <v>2</v>
      </c>
      <c r="H8">
        <v>180</v>
      </c>
      <c r="I8" t="s">
        <v>35</v>
      </c>
      <c r="J8" t="s">
        <v>23</v>
      </c>
      <c r="K8">
        <v>360</v>
      </c>
      <c r="L8" t="str">
        <f>IF(Clean_Data_Analysis_Project[[#This Row],[TotalSales]]&gt;=500,"High","Low")</f>
        <v>Low</v>
      </c>
    </row>
    <row r="9" spans="1:12" x14ac:dyDescent="0.25">
      <c r="A9">
        <v>8</v>
      </c>
      <c r="B9" s="1">
        <v>46134</v>
      </c>
      <c r="C9" t="s">
        <v>10</v>
      </c>
      <c r="D9" t="s">
        <v>17</v>
      </c>
      <c r="E9" t="s">
        <v>33</v>
      </c>
      <c r="F9" t="s">
        <v>34</v>
      </c>
      <c r="G9">
        <v>6</v>
      </c>
      <c r="H9">
        <v>180</v>
      </c>
      <c r="I9" t="s">
        <v>14</v>
      </c>
      <c r="J9" t="s">
        <v>23</v>
      </c>
      <c r="K9">
        <v>1080</v>
      </c>
      <c r="L9" t="str">
        <f>IF(Clean_Data_Analysis_Project[[#This Row],[TotalSales]]&gt;=500,"High","Low")</f>
        <v>High</v>
      </c>
    </row>
    <row r="10" spans="1:12" x14ac:dyDescent="0.25">
      <c r="A10">
        <v>9</v>
      </c>
      <c r="B10" s="1">
        <v>46212</v>
      </c>
      <c r="C10" t="s">
        <v>36</v>
      </c>
      <c r="D10" t="s">
        <v>11</v>
      </c>
      <c r="E10" t="s">
        <v>21</v>
      </c>
      <c r="F10" t="s">
        <v>13</v>
      </c>
      <c r="G10">
        <v>8</v>
      </c>
      <c r="H10">
        <v>25</v>
      </c>
      <c r="I10" t="s">
        <v>48</v>
      </c>
      <c r="J10" t="s">
        <v>27</v>
      </c>
      <c r="K10">
        <v>200</v>
      </c>
      <c r="L10" t="str">
        <f>IF(Clean_Data_Analysis_Project[[#This Row],[TotalSales]]&gt;=500,"High","Low")</f>
        <v>Low</v>
      </c>
    </row>
    <row r="11" spans="1:12" x14ac:dyDescent="0.25">
      <c r="A11">
        <v>10</v>
      </c>
      <c r="B11" s="1">
        <v>46186</v>
      </c>
      <c r="C11" t="s">
        <v>10</v>
      </c>
      <c r="D11" t="s">
        <v>17</v>
      </c>
      <c r="E11" t="s">
        <v>21</v>
      </c>
      <c r="F11" t="s">
        <v>13</v>
      </c>
      <c r="G11">
        <v>1</v>
      </c>
      <c r="H11">
        <v>25</v>
      </c>
      <c r="I11" t="s">
        <v>14</v>
      </c>
      <c r="J11" t="s">
        <v>37</v>
      </c>
      <c r="K11">
        <v>25</v>
      </c>
      <c r="L11" t="str">
        <f>IF(Clean_Data_Analysis_Project[[#This Row],[TotalSales]]&gt;=500,"High","Low")</f>
        <v>Low</v>
      </c>
    </row>
    <row r="12" spans="1:12" x14ac:dyDescent="0.25">
      <c r="A12">
        <v>12</v>
      </c>
      <c r="B12" s="1">
        <v>46222</v>
      </c>
      <c r="C12" t="s">
        <v>38</v>
      </c>
      <c r="D12" t="s">
        <v>17</v>
      </c>
      <c r="E12" t="s">
        <v>33</v>
      </c>
      <c r="F12" t="s">
        <v>34</v>
      </c>
      <c r="G12">
        <v>10</v>
      </c>
      <c r="H12">
        <v>180</v>
      </c>
      <c r="I12" t="s">
        <v>40</v>
      </c>
      <c r="J12" t="s">
        <v>25</v>
      </c>
      <c r="K12">
        <v>1800</v>
      </c>
      <c r="L12" t="str">
        <f>IF(Clean_Data_Analysis_Project[[#This Row],[TotalSales]]&gt;=500,"High","Low")</f>
        <v>High</v>
      </c>
    </row>
    <row r="13" spans="1:12" x14ac:dyDescent="0.25">
      <c r="A13">
        <v>13</v>
      </c>
      <c r="B13" s="1">
        <v>46058</v>
      </c>
      <c r="C13" t="s">
        <v>24</v>
      </c>
      <c r="D13" t="s">
        <v>11</v>
      </c>
      <c r="E13" t="s">
        <v>18</v>
      </c>
      <c r="F13" t="s">
        <v>13</v>
      </c>
      <c r="G13">
        <v>1</v>
      </c>
      <c r="H13">
        <v>1200</v>
      </c>
      <c r="I13" t="s">
        <v>40</v>
      </c>
      <c r="J13" t="s">
        <v>25</v>
      </c>
      <c r="K13">
        <v>1200</v>
      </c>
      <c r="L13" t="str">
        <f>IF(Clean_Data_Analysis_Project[[#This Row],[TotalSales]]&gt;=500,"High","Low")</f>
        <v>High</v>
      </c>
    </row>
    <row r="14" spans="1:12" x14ac:dyDescent="0.25">
      <c r="A14">
        <v>14</v>
      </c>
      <c r="B14" s="1">
        <v>46293</v>
      </c>
      <c r="C14" t="s">
        <v>16</v>
      </c>
      <c r="D14" t="s">
        <v>17</v>
      </c>
      <c r="E14" t="s">
        <v>29</v>
      </c>
      <c r="F14" t="s">
        <v>30</v>
      </c>
      <c r="G14">
        <v>5</v>
      </c>
      <c r="H14">
        <v>5</v>
      </c>
      <c r="I14" t="s">
        <v>35</v>
      </c>
      <c r="J14" t="s">
        <v>37</v>
      </c>
      <c r="K14">
        <v>25</v>
      </c>
      <c r="L14" t="str">
        <f>IF(Clean_Data_Analysis_Project[[#This Row],[TotalSales]]&gt;=500,"High","Low")</f>
        <v>Low</v>
      </c>
    </row>
    <row r="15" spans="1:12" x14ac:dyDescent="0.25">
      <c r="A15">
        <v>15</v>
      </c>
      <c r="B15" s="1">
        <v>46209</v>
      </c>
      <c r="C15" t="s">
        <v>20</v>
      </c>
      <c r="D15" t="s">
        <v>17</v>
      </c>
      <c r="E15" t="s">
        <v>18</v>
      </c>
      <c r="F15" t="s">
        <v>13</v>
      </c>
      <c r="G15">
        <v>5</v>
      </c>
      <c r="H15">
        <v>1200</v>
      </c>
      <c r="I15" t="s">
        <v>35</v>
      </c>
      <c r="J15" t="s">
        <v>15</v>
      </c>
      <c r="K15">
        <v>6000</v>
      </c>
      <c r="L15" t="str">
        <f>IF(Clean_Data_Analysis_Project[[#This Row],[TotalSales]]&gt;=500,"High","Low")</f>
        <v>High</v>
      </c>
    </row>
    <row r="16" spans="1:12" x14ac:dyDescent="0.25">
      <c r="A16">
        <v>16</v>
      </c>
      <c r="B16" s="1">
        <v>46081</v>
      </c>
      <c r="C16" t="s">
        <v>10</v>
      </c>
      <c r="D16" t="s">
        <v>47</v>
      </c>
      <c r="E16" t="s">
        <v>21</v>
      </c>
      <c r="F16" t="s">
        <v>13</v>
      </c>
      <c r="G16">
        <v>9</v>
      </c>
      <c r="H16">
        <v>25</v>
      </c>
      <c r="I16" t="s">
        <v>48</v>
      </c>
      <c r="J16" t="s">
        <v>23</v>
      </c>
      <c r="K16">
        <v>225</v>
      </c>
      <c r="L16" t="str">
        <f>IF(Clean_Data_Analysis_Project[[#This Row],[TotalSales]]&gt;=500,"High","Low")</f>
        <v>Low</v>
      </c>
    </row>
    <row r="17" spans="1:12" x14ac:dyDescent="0.25">
      <c r="A17">
        <v>17</v>
      </c>
      <c r="B17" s="1">
        <v>46042</v>
      </c>
      <c r="C17" t="s">
        <v>28</v>
      </c>
      <c r="D17" t="s">
        <v>11</v>
      </c>
      <c r="E17" t="s">
        <v>29</v>
      </c>
      <c r="F17" t="s">
        <v>30</v>
      </c>
      <c r="H17">
        <v>5</v>
      </c>
      <c r="I17" t="s">
        <v>48</v>
      </c>
      <c r="J17" t="s">
        <v>37</v>
      </c>
      <c r="L17" t="str">
        <f>IF(Clean_Data_Analysis_Project[[#This Row],[TotalSales]]&gt;=500,"High","Low")</f>
        <v>Low</v>
      </c>
    </row>
    <row r="18" spans="1:12" x14ac:dyDescent="0.25">
      <c r="A18">
        <v>18</v>
      </c>
      <c r="B18" s="1">
        <v>46131</v>
      </c>
      <c r="C18" t="s">
        <v>49</v>
      </c>
      <c r="D18" t="s">
        <v>17</v>
      </c>
      <c r="E18" t="s">
        <v>21</v>
      </c>
      <c r="F18" t="s">
        <v>13</v>
      </c>
      <c r="G18">
        <v>1</v>
      </c>
      <c r="H18">
        <v>25</v>
      </c>
      <c r="I18" t="s">
        <v>48</v>
      </c>
      <c r="J18" t="s">
        <v>15</v>
      </c>
      <c r="K18">
        <v>25</v>
      </c>
      <c r="L18" t="str">
        <f>IF(Clean_Data_Analysis_Project[[#This Row],[TotalSales]]&gt;=500,"High","Low")</f>
        <v>Low</v>
      </c>
    </row>
    <row r="19" spans="1:12" x14ac:dyDescent="0.25">
      <c r="A19">
        <v>19</v>
      </c>
      <c r="B19" s="1">
        <v>46342</v>
      </c>
      <c r="C19" t="s">
        <v>36</v>
      </c>
      <c r="D19" t="s">
        <v>11</v>
      </c>
      <c r="E19" t="s">
        <v>21</v>
      </c>
      <c r="F19" t="s">
        <v>13</v>
      </c>
      <c r="G19">
        <v>3</v>
      </c>
      <c r="H19">
        <v>25</v>
      </c>
      <c r="I19" t="s">
        <v>26</v>
      </c>
      <c r="J19" t="s">
        <v>23</v>
      </c>
      <c r="K19">
        <v>75</v>
      </c>
      <c r="L19" t="str">
        <f>IF(Clean_Data_Analysis_Project[[#This Row],[TotalSales]]&gt;=500,"High","Low")</f>
        <v>Low</v>
      </c>
    </row>
    <row r="20" spans="1:12" x14ac:dyDescent="0.25">
      <c r="A20">
        <v>20</v>
      </c>
      <c r="B20" s="1">
        <v>46366</v>
      </c>
      <c r="C20" t="s">
        <v>38</v>
      </c>
      <c r="D20" t="s">
        <v>17</v>
      </c>
      <c r="E20" t="s">
        <v>29</v>
      </c>
      <c r="F20" t="s">
        <v>30</v>
      </c>
      <c r="G20">
        <v>4</v>
      </c>
      <c r="H20">
        <v>5</v>
      </c>
      <c r="I20" t="s">
        <v>19</v>
      </c>
      <c r="J20" t="s">
        <v>23</v>
      </c>
      <c r="K20">
        <v>20</v>
      </c>
      <c r="L20" t="str">
        <f>IF(Clean_Data_Analysis_Project[[#This Row],[TotalSales]]&gt;=500,"High","Low")</f>
        <v>Low</v>
      </c>
    </row>
    <row r="21" spans="1:12" x14ac:dyDescent="0.25">
      <c r="A21">
        <v>21</v>
      </c>
      <c r="B21" s="1">
        <v>46174</v>
      </c>
      <c r="C21" t="s">
        <v>41</v>
      </c>
      <c r="D21" t="s">
        <v>47</v>
      </c>
      <c r="E21" t="s">
        <v>21</v>
      </c>
      <c r="F21" t="s">
        <v>13</v>
      </c>
      <c r="G21">
        <v>2</v>
      </c>
      <c r="H21">
        <v>25</v>
      </c>
      <c r="I21" t="s">
        <v>19</v>
      </c>
      <c r="J21" t="s">
        <v>27</v>
      </c>
      <c r="K21">
        <v>50</v>
      </c>
      <c r="L21" t="str">
        <f>IF(Clean_Data_Analysis_Project[[#This Row],[TotalSales]]&gt;=500,"High","Low")</f>
        <v>Low</v>
      </c>
    </row>
    <row r="22" spans="1:12" x14ac:dyDescent="0.25">
      <c r="A22">
        <v>22</v>
      </c>
      <c r="B22" s="1">
        <v>46050</v>
      </c>
      <c r="C22" t="s">
        <v>28</v>
      </c>
      <c r="D22" t="s">
        <v>17</v>
      </c>
      <c r="E22" t="s">
        <v>21</v>
      </c>
      <c r="F22" t="s">
        <v>13</v>
      </c>
      <c r="G22">
        <v>2</v>
      </c>
      <c r="H22">
        <v>25</v>
      </c>
      <c r="I22" t="s">
        <v>26</v>
      </c>
      <c r="J22" t="s">
        <v>23</v>
      </c>
      <c r="K22">
        <v>50</v>
      </c>
      <c r="L22" t="str">
        <f>IF(Clean_Data_Analysis_Project[[#This Row],[TotalSales]]&gt;=500,"High","Low")</f>
        <v>Low</v>
      </c>
    </row>
    <row r="23" spans="1:12" x14ac:dyDescent="0.25">
      <c r="A23">
        <v>23</v>
      </c>
      <c r="B23" s="1">
        <v>46375</v>
      </c>
      <c r="C23" t="s">
        <v>41</v>
      </c>
      <c r="D23" t="s">
        <v>11</v>
      </c>
      <c r="E23" t="s">
        <v>29</v>
      </c>
      <c r="F23" t="s">
        <v>30</v>
      </c>
      <c r="G23">
        <v>3</v>
      </c>
      <c r="H23">
        <v>5</v>
      </c>
      <c r="I23" t="s">
        <v>26</v>
      </c>
      <c r="J23" t="s">
        <v>23</v>
      </c>
      <c r="K23">
        <v>15</v>
      </c>
      <c r="L23" t="str">
        <f>IF(Clean_Data_Analysis_Project[[#This Row],[TotalSales]]&gt;=500,"High","Low")</f>
        <v>Low</v>
      </c>
    </row>
    <row r="24" spans="1:12" x14ac:dyDescent="0.25">
      <c r="A24">
        <v>24</v>
      </c>
      <c r="B24" s="1">
        <v>46340</v>
      </c>
      <c r="C24" t="s">
        <v>28</v>
      </c>
      <c r="D24" t="s">
        <v>11</v>
      </c>
      <c r="E24" t="s">
        <v>18</v>
      </c>
      <c r="F24" t="s">
        <v>13</v>
      </c>
      <c r="G24">
        <v>2</v>
      </c>
      <c r="H24">
        <v>1200</v>
      </c>
      <c r="I24" t="s">
        <v>19</v>
      </c>
      <c r="J24" t="s">
        <v>27</v>
      </c>
      <c r="K24">
        <v>2400</v>
      </c>
      <c r="L24" t="str">
        <f>IF(Clean_Data_Analysis_Project[[#This Row],[TotalSales]]&gt;=500,"High","Low")</f>
        <v>High</v>
      </c>
    </row>
    <row r="25" spans="1:12" x14ac:dyDescent="0.25">
      <c r="A25">
        <v>25</v>
      </c>
      <c r="B25" s="1">
        <v>46367</v>
      </c>
      <c r="C25" t="s">
        <v>49</v>
      </c>
      <c r="D25" t="s">
        <v>11</v>
      </c>
      <c r="E25" t="s">
        <v>18</v>
      </c>
      <c r="F25" t="s">
        <v>13</v>
      </c>
      <c r="G25">
        <v>7</v>
      </c>
      <c r="H25">
        <v>1200</v>
      </c>
      <c r="I25" t="s">
        <v>42</v>
      </c>
      <c r="J25" t="s">
        <v>25</v>
      </c>
      <c r="K25">
        <v>8400</v>
      </c>
      <c r="L25" t="str">
        <f>IF(Clean_Data_Analysis_Project[[#This Row],[TotalSales]]&gt;=500,"High","Low")</f>
        <v>High</v>
      </c>
    </row>
    <row r="26" spans="1:12" x14ac:dyDescent="0.25">
      <c r="A26">
        <v>26</v>
      </c>
      <c r="B26" s="1">
        <v>46242</v>
      </c>
      <c r="C26" t="s">
        <v>49</v>
      </c>
      <c r="D26" t="s">
        <v>11</v>
      </c>
      <c r="E26" t="s">
        <v>21</v>
      </c>
      <c r="F26" t="s">
        <v>13</v>
      </c>
      <c r="G26">
        <v>5</v>
      </c>
      <c r="H26">
        <v>25</v>
      </c>
      <c r="I26" t="s">
        <v>19</v>
      </c>
      <c r="J26" t="s">
        <v>27</v>
      </c>
      <c r="K26">
        <v>125</v>
      </c>
      <c r="L26" t="str">
        <f>IF(Clean_Data_Analysis_Project[[#This Row],[TotalSales]]&gt;=500,"High","Low")</f>
        <v>Low</v>
      </c>
    </row>
    <row r="27" spans="1:12" x14ac:dyDescent="0.25">
      <c r="A27">
        <v>27</v>
      </c>
      <c r="B27" s="1">
        <v>46025</v>
      </c>
      <c r="C27" t="s">
        <v>43</v>
      </c>
      <c r="D27" t="s">
        <v>11</v>
      </c>
      <c r="E27" t="s">
        <v>12</v>
      </c>
      <c r="F27" t="s">
        <v>13</v>
      </c>
      <c r="G27">
        <v>9</v>
      </c>
      <c r="H27">
        <v>250</v>
      </c>
      <c r="I27" t="s">
        <v>48</v>
      </c>
      <c r="J27" t="s">
        <v>25</v>
      </c>
      <c r="K27">
        <v>2250</v>
      </c>
      <c r="L27" t="str">
        <f>IF(Clean_Data_Analysis_Project[[#This Row],[TotalSales]]&gt;=500,"High","Low")</f>
        <v>High</v>
      </c>
    </row>
    <row r="28" spans="1:12" x14ac:dyDescent="0.25">
      <c r="A28">
        <v>28</v>
      </c>
      <c r="B28" s="1">
        <v>46204</v>
      </c>
      <c r="C28" t="s">
        <v>38</v>
      </c>
      <c r="D28" t="s">
        <v>17</v>
      </c>
      <c r="E28" t="s">
        <v>18</v>
      </c>
      <c r="F28" t="s">
        <v>13</v>
      </c>
      <c r="G28">
        <v>3</v>
      </c>
      <c r="H28">
        <v>1200</v>
      </c>
      <c r="I28" t="s">
        <v>35</v>
      </c>
      <c r="J28" t="s">
        <v>25</v>
      </c>
      <c r="K28">
        <v>3600</v>
      </c>
      <c r="L28" t="str">
        <f>IF(Clean_Data_Analysis_Project[[#This Row],[TotalSales]]&gt;=500,"High","Low")</f>
        <v>High</v>
      </c>
    </row>
    <row r="29" spans="1:12" x14ac:dyDescent="0.25">
      <c r="A29">
        <v>29</v>
      </c>
      <c r="B29" s="1">
        <v>46349</v>
      </c>
      <c r="C29" t="s">
        <v>20</v>
      </c>
      <c r="D29" t="s">
        <v>11</v>
      </c>
      <c r="E29" t="s">
        <v>12</v>
      </c>
      <c r="F29" t="s">
        <v>13</v>
      </c>
      <c r="G29">
        <v>9</v>
      </c>
      <c r="H29">
        <v>250</v>
      </c>
      <c r="I29" t="s">
        <v>19</v>
      </c>
      <c r="J29" t="s">
        <v>15</v>
      </c>
      <c r="K29">
        <v>2250</v>
      </c>
      <c r="L29" t="str">
        <f>IF(Clean_Data_Analysis_Project[[#This Row],[TotalSales]]&gt;=500,"High","Low")</f>
        <v>High</v>
      </c>
    </row>
    <row r="30" spans="1:12" x14ac:dyDescent="0.25">
      <c r="A30">
        <v>30</v>
      </c>
      <c r="B30" s="1">
        <v>46046</v>
      </c>
      <c r="C30" t="s">
        <v>28</v>
      </c>
      <c r="D30" t="s">
        <v>17</v>
      </c>
      <c r="E30" t="s">
        <v>12</v>
      </c>
      <c r="F30" t="s">
        <v>13</v>
      </c>
      <c r="G30">
        <v>9</v>
      </c>
      <c r="H30">
        <v>250</v>
      </c>
      <c r="I30" t="s">
        <v>48</v>
      </c>
      <c r="J30" t="s">
        <v>15</v>
      </c>
      <c r="K30">
        <v>2250</v>
      </c>
      <c r="L30" t="str">
        <f>IF(Clean_Data_Analysis_Project[[#This Row],[TotalSales]]&gt;=500,"High","Low")</f>
        <v>High</v>
      </c>
    </row>
    <row r="31" spans="1:12" x14ac:dyDescent="0.25">
      <c r="A31">
        <v>31</v>
      </c>
      <c r="B31" s="1">
        <v>46268</v>
      </c>
      <c r="C31" t="s">
        <v>24</v>
      </c>
      <c r="D31" t="s">
        <v>17</v>
      </c>
      <c r="E31" t="s">
        <v>21</v>
      </c>
      <c r="F31" t="s">
        <v>13</v>
      </c>
      <c r="G31">
        <v>1</v>
      </c>
      <c r="H31">
        <v>25</v>
      </c>
      <c r="I31" t="s">
        <v>42</v>
      </c>
      <c r="J31" t="s">
        <v>25</v>
      </c>
      <c r="K31">
        <v>25</v>
      </c>
      <c r="L31" t="str">
        <f>IF(Clean_Data_Analysis_Project[[#This Row],[TotalSales]]&gt;=500,"High","Low")</f>
        <v>Low</v>
      </c>
    </row>
    <row r="32" spans="1:12" x14ac:dyDescent="0.25">
      <c r="A32">
        <v>32</v>
      </c>
      <c r="B32" s="1">
        <v>46131</v>
      </c>
      <c r="C32" t="s">
        <v>41</v>
      </c>
      <c r="D32" t="s">
        <v>17</v>
      </c>
      <c r="E32" t="s">
        <v>18</v>
      </c>
      <c r="F32" t="s">
        <v>13</v>
      </c>
      <c r="G32">
        <v>10</v>
      </c>
      <c r="H32">
        <v>1200</v>
      </c>
      <c r="I32" t="s">
        <v>40</v>
      </c>
      <c r="J32" t="s">
        <v>15</v>
      </c>
      <c r="K32">
        <v>12000</v>
      </c>
      <c r="L32" t="str">
        <f>IF(Clean_Data_Analysis_Project[[#This Row],[TotalSales]]&gt;=500,"High","Low")</f>
        <v>High</v>
      </c>
    </row>
    <row r="33" spans="1:12" x14ac:dyDescent="0.25">
      <c r="A33">
        <v>33</v>
      </c>
      <c r="B33" s="1">
        <v>46149</v>
      </c>
      <c r="C33" t="s">
        <v>28</v>
      </c>
      <c r="D33" t="s">
        <v>11</v>
      </c>
      <c r="E33" t="s">
        <v>29</v>
      </c>
      <c r="F33" t="s">
        <v>30</v>
      </c>
      <c r="G33">
        <v>6</v>
      </c>
      <c r="H33">
        <v>5</v>
      </c>
      <c r="I33" t="s">
        <v>14</v>
      </c>
      <c r="J33" t="s">
        <v>37</v>
      </c>
      <c r="K33">
        <v>30</v>
      </c>
      <c r="L33" t="str">
        <f>IF(Clean_Data_Analysis_Project[[#This Row],[TotalSales]]&gt;=500,"High","Low")</f>
        <v>Low</v>
      </c>
    </row>
    <row r="34" spans="1:12" x14ac:dyDescent="0.25">
      <c r="A34">
        <v>34</v>
      </c>
      <c r="B34" s="1">
        <v>46054</v>
      </c>
      <c r="C34" t="s">
        <v>20</v>
      </c>
      <c r="D34" t="s">
        <v>47</v>
      </c>
      <c r="E34" t="s">
        <v>44</v>
      </c>
      <c r="F34" t="s">
        <v>34</v>
      </c>
      <c r="G34">
        <v>6</v>
      </c>
      <c r="H34">
        <v>95</v>
      </c>
      <c r="I34" t="s">
        <v>19</v>
      </c>
      <c r="J34" t="s">
        <v>15</v>
      </c>
      <c r="K34">
        <v>570</v>
      </c>
      <c r="L34" t="str">
        <f>IF(Clean_Data_Analysis_Project[[#This Row],[TotalSales]]&gt;=500,"High","Low")</f>
        <v>High</v>
      </c>
    </row>
    <row r="35" spans="1:12" x14ac:dyDescent="0.25">
      <c r="A35">
        <v>35</v>
      </c>
      <c r="B35" s="1">
        <v>46147</v>
      </c>
      <c r="C35" t="s">
        <v>28</v>
      </c>
      <c r="D35" t="s">
        <v>17</v>
      </c>
      <c r="E35" t="s">
        <v>21</v>
      </c>
      <c r="F35" t="s">
        <v>13</v>
      </c>
      <c r="G35">
        <v>9</v>
      </c>
      <c r="H35">
        <v>25</v>
      </c>
      <c r="I35" t="s">
        <v>42</v>
      </c>
      <c r="J35" t="s">
        <v>25</v>
      </c>
      <c r="K35">
        <v>225</v>
      </c>
      <c r="L35" t="str">
        <f>IF(Clean_Data_Analysis_Project[[#This Row],[TotalSales]]&gt;=500,"High","Low")</f>
        <v>Low</v>
      </c>
    </row>
    <row r="36" spans="1:12" x14ac:dyDescent="0.25">
      <c r="A36">
        <v>36</v>
      </c>
      <c r="B36" s="1">
        <v>46321</v>
      </c>
      <c r="C36" t="s">
        <v>36</v>
      </c>
      <c r="D36" t="s">
        <v>17</v>
      </c>
      <c r="E36" t="s">
        <v>29</v>
      </c>
      <c r="F36" t="s">
        <v>30</v>
      </c>
      <c r="G36">
        <v>5</v>
      </c>
      <c r="H36">
        <v>5</v>
      </c>
      <c r="I36" t="s">
        <v>14</v>
      </c>
      <c r="J36" t="s">
        <v>27</v>
      </c>
      <c r="K36">
        <v>25</v>
      </c>
      <c r="L36" t="str">
        <f>IF(Clean_Data_Analysis_Project[[#This Row],[TotalSales]]&gt;=500,"High","Low")</f>
        <v>Low</v>
      </c>
    </row>
    <row r="37" spans="1:12" x14ac:dyDescent="0.25">
      <c r="A37">
        <v>37</v>
      </c>
      <c r="B37" s="1">
        <v>46057</v>
      </c>
      <c r="C37" t="s">
        <v>36</v>
      </c>
      <c r="D37" t="s">
        <v>11</v>
      </c>
      <c r="E37" t="s">
        <v>21</v>
      </c>
      <c r="F37" t="s">
        <v>13</v>
      </c>
      <c r="G37">
        <v>5</v>
      </c>
      <c r="H37">
        <v>25</v>
      </c>
      <c r="I37" t="s">
        <v>14</v>
      </c>
      <c r="J37" t="s">
        <v>37</v>
      </c>
      <c r="K37">
        <v>125</v>
      </c>
      <c r="L37" t="str">
        <f>IF(Clean_Data_Analysis_Project[[#This Row],[TotalSales]]&gt;=500,"High","Low")</f>
        <v>Low</v>
      </c>
    </row>
    <row r="38" spans="1:12" x14ac:dyDescent="0.25">
      <c r="A38">
        <v>38</v>
      </c>
      <c r="B38" s="1">
        <v>46281</v>
      </c>
      <c r="C38" t="s">
        <v>10</v>
      </c>
      <c r="D38" t="s">
        <v>17</v>
      </c>
      <c r="E38" t="s">
        <v>21</v>
      </c>
      <c r="F38" t="s">
        <v>13</v>
      </c>
      <c r="G38">
        <v>5</v>
      </c>
      <c r="H38">
        <v>25</v>
      </c>
      <c r="I38" t="s">
        <v>35</v>
      </c>
      <c r="J38" t="s">
        <v>27</v>
      </c>
      <c r="K38">
        <v>125</v>
      </c>
      <c r="L38" t="str">
        <f>IF(Clean_Data_Analysis_Project[[#This Row],[TotalSales]]&gt;=500,"High","Low")</f>
        <v>Low</v>
      </c>
    </row>
    <row r="39" spans="1:12" x14ac:dyDescent="0.25">
      <c r="A39">
        <v>39</v>
      </c>
      <c r="B39" s="1">
        <v>46102</v>
      </c>
      <c r="C39" t="s">
        <v>10</v>
      </c>
      <c r="D39" t="s">
        <v>11</v>
      </c>
      <c r="E39" t="s">
        <v>18</v>
      </c>
      <c r="F39" t="s">
        <v>13</v>
      </c>
      <c r="G39">
        <v>6</v>
      </c>
      <c r="H39">
        <v>1200</v>
      </c>
      <c r="I39" t="s">
        <v>26</v>
      </c>
      <c r="J39" t="s">
        <v>15</v>
      </c>
      <c r="K39">
        <v>7200</v>
      </c>
      <c r="L39" t="str">
        <f>IF(Clean_Data_Analysis_Project[[#This Row],[TotalSales]]&gt;=500,"High","Low")</f>
        <v>High</v>
      </c>
    </row>
    <row r="40" spans="1:12" x14ac:dyDescent="0.25">
      <c r="A40">
        <v>40</v>
      </c>
      <c r="B40" s="1">
        <v>46076</v>
      </c>
      <c r="C40" t="s">
        <v>24</v>
      </c>
      <c r="D40" t="s">
        <v>47</v>
      </c>
      <c r="E40" t="s">
        <v>18</v>
      </c>
      <c r="F40" t="s">
        <v>13</v>
      </c>
      <c r="H40">
        <v>1200</v>
      </c>
      <c r="I40" t="s">
        <v>40</v>
      </c>
      <c r="J40" t="s">
        <v>23</v>
      </c>
      <c r="L40" t="str">
        <f>IF(Clean_Data_Analysis_Project[[#This Row],[TotalSales]]&gt;=500,"High","Low")</f>
        <v>Low</v>
      </c>
    </row>
    <row r="41" spans="1:12" x14ac:dyDescent="0.25">
      <c r="A41">
        <v>41</v>
      </c>
      <c r="B41" s="1">
        <v>46032</v>
      </c>
      <c r="C41" t="s">
        <v>28</v>
      </c>
      <c r="D41" t="s">
        <v>17</v>
      </c>
      <c r="E41" t="s">
        <v>44</v>
      </c>
      <c r="F41" t="s">
        <v>34</v>
      </c>
      <c r="G41">
        <v>3</v>
      </c>
      <c r="H41">
        <v>95</v>
      </c>
      <c r="I41" t="s">
        <v>42</v>
      </c>
      <c r="J41" t="s">
        <v>27</v>
      </c>
      <c r="K41">
        <v>285</v>
      </c>
      <c r="L41" t="str">
        <f>IF(Clean_Data_Analysis_Project[[#This Row],[TotalSales]]&gt;=500,"High","Low")</f>
        <v>Low</v>
      </c>
    </row>
    <row r="42" spans="1:12" x14ac:dyDescent="0.25">
      <c r="A42">
        <v>42</v>
      </c>
      <c r="B42" s="1">
        <v>46223</v>
      </c>
      <c r="C42" t="s">
        <v>24</v>
      </c>
      <c r="D42" t="s">
        <v>11</v>
      </c>
      <c r="E42" t="s">
        <v>33</v>
      </c>
      <c r="F42" t="s">
        <v>34</v>
      </c>
      <c r="G42">
        <v>9</v>
      </c>
      <c r="H42">
        <v>180</v>
      </c>
      <c r="I42" t="s">
        <v>48</v>
      </c>
      <c r="J42" t="s">
        <v>23</v>
      </c>
      <c r="K42">
        <v>1620</v>
      </c>
      <c r="L42" t="str">
        <f>IF(Clean_Data_Analysis_Project[[#This Row],[TotalSales]]&gt;=500,"High","Low")</f>
        <v>High</v>
      </c>
    </row>
    <row r="43" spans="1:12" x14ac:dyDescent="0.25">
      <c r="A43">
        <v>43</v>
      </c>
      <c r="B43" s="1">
        <v>46105</v>
      </c>
      <c r="C43" t="s">
        <v>28</v>
      </c>
      <c r="D43" t="s">
        <v>11</v>
      </c>
      <c r="E43" t="s">
        <v>44</v>
      </c>
      <c r="F43" t="s">
        <v>34</v>
      </c>
      <c r="G43">
        <v>1</v>
      </c>
      <c r="H43">
        <v>95</v>
      </c>
      <c r="I43" t="s">
        <v>48</v>
      </c>
      <c r="J43" t="s">
        <v>23</v>
      </c>
      <c r="K43">
        <v>95</v>
      </c>
      <c r="L43" t="str">
        <f>IF(Clean_Data_Analysis_Project[[#This Row],[TotalSales]]&gt;=500,"High","Low")</f>
        <v>Low</v>
      </c>
    </row>
    <row r="44" spans="1:12" x14ac:dyDescent="0.25">
      <c r="A44">
        <v>44</v>
      </c>
      <c r="B44" s="1">
        <v>46360</v>
      </c>
      <c r="C44" t="s">
        <v>38</v>
      </c>
      <c r="D44" t="s">
        <v>17</v>
      </c>
      <c r="E44" t="s">
        <v>33</v>
      </c>
      <c r="F44" t="s">
        <v>34</v>
      </c>
      <c r="G44">
        <v>3</v>
      </c>
      <c r="H44">
        <v>180</v>
      </c>
      <c r="I44" t="s">
        <v>48</v>
      </c>
      <c r="J44" t="s">
        <v>25</v>
      </c>
      <c r="K44">
        <v>540</v>
      </c>
      <c r="L44" t="str">
        <f>IF(Clean_Data_Analysis_Project[[#This Row],[TotalSales]]&gt;=500,"High","Low")</f>
        <v>High</v>
      </c>
    </row>
    <row r="45" spans="1:12" x14ac:dyDescent="0.25">
      <c r="A45">
        <v>45</v>
      </c>
      <c r="B45" s="1">
        <v>46120</v>
      </c>
      <c r="C45" t="s">
        <v>16</v>
      </c>
      <c r="D45" t="s">
        <v>11</v>
      </c>
      <c r="E45" t="s">
        <v>33</v>
      </c>
      <c r="F45" t="s">
        <v>34</v>
      </c>
      <c r="G45">
        <v>5</v>
      </c>
      <c r="H45">
        <v>180</v>
      </c>
      <c r="I45" t="s">
        <v>19</v>
      </c>
      <c r="J45" t="s">
        <v>37</v>
      </c>
      <c r="K45">
        <v>900</v>
      </c>
      <c r="L45" t="str">
        <f>IF(Clean_Data_Analysis_Project[[#This Row],[TotalSales]]&gt;=500,"High","Low")</f>
        <v>High</v>
      </c>
    </row>
    <row r="46" spans="1:12" x14ac:dyDescent="0.25">
      <c r="A46">
        <v>46</v>
      </c>
      <c r="B46" s="1">
        <v>46225</v>
      </c>
      <c r="C46" t="s">
        <v>36</v>
      </c>
      <c r="D46" t="s">
        <v>17</v>
      </c>
      <c r="E46" t="s">
        <v>33</v>
      </c>
      <c r="F46" t="s">
        <v>34</v>
      </c>
      <c r="G46">
        <v>9</v>
      </c>
      <c r="H46">
        <v>180</v>
      </c>
      <c r="I46" t="s">
        <v>35</v>
      </c>
      <c r="J46" t="s">
        <v>23</v>
      </c>
      <c r="K46">
        <v>1620</v>
      </c>
      <c r="L46" t="str">
        <f>IF(Clean_Data_Analysis_Project[[#This Row],[TotalSales]]&gt;=500,"High","Low")</f>
        <v>High</v>
      </c>
    </row>
    <row r="47" spans="1:12" x14ac:dyDescent="0.25">
      <c r="A47">
        <v>47</v>
      </c>
      <c r="B47" s="1">
        <v>46026</v>
      </c>
      <c r="C47" t="s">
        <v>41</v>
      </c>
      <c r="D47" t="s">
        <v>11</v>
      </c>
      <c r="E47" t="s">
        <v>29</v>
      </c>
      <c r="F47" t="s">
        <v>30</v>
      </c>
      <c r="G47">
        <v>5</v>
      </c>
      <c r="H47">
        <v>5</v>
      </c>
      <c r="I47" t="s">
        <v>26</v>
      </c>
      <c r="J47" t="s">
        <v>15</v>
      </c>
      <c r="K47">
        <v>25</v>
      </c>
      <c r="L47" t="str">
        <f>IF(Clean_Data_Analysis_Project[[#This Row],[TotalSales]]&gt;=500,"High","Low")</f>
        <v>Low</v>
      </c>
    </row>
    <row r="48" spans="1:12" x14ac:dyDescent="0.25">
      <c r="A48">
        <v>48</v>
      </c>
      <c r="B48" s="1">
        <v>46222</v>
      </c>
      <c r="C48" t="s">
        <v>43</v>
      </c>
      <c r="D48" t="s">
        <v>17</v>
      </c>
      <c r="E48" t="s">
        <v>29</v>
      </c>
      <c r="F48" t="s">
        <v>30</v>
      </c>
      <c r="H48">
        <v>5</v>
      </c>
      <c r="I48" t="s">
        <v>40</v>
      </c>
      <c r="J48" t="s">
        <v>15</v>
      </c>
      <c r="L48" t="str">
        <f>IF(Clean_Data_Analysis_Project[[#This Row],[TotalSales]]&gt;=500,"High","Low")</f>
        <v>Low</v>
      </c>
    </row>
    <row r="49" spans="1:12" x14ac:dyDescent="0.25">
      <c r="A49">
        <v>49</v>
      </c>
      <c r="B49" s="1">
        <v>46187</v>
      </c>
      <c r="C49" t="s">
        <v>49</v>
      </c>
      <c r="D49" t="s">
        <v>17</v>
      </c>
      <c r="E49" t="s">
        <v>12</v>
      </c>
      <c r="F49" t="s">
        <v>13</v>
      </c>
      <c r="G49">
        <v>4</v>
      </c>
      <c r="H49">
        <v>250</v>
      </c>
      <c r="I49" t="s">
        <v>19</v>
      </c>
      <c r="J49" t="s">
        <v>37</v>
      </c>
      <c r="K49">
        <v>1000</v>
      </c>
      <c r="L49" t="str">
        <f>IF(Clean_Data_Analysis_Project[[#This Row],[TotalSales]]&gt;=500,"High","Low")</f>
        <v>High</v>
      </c>
    </row>
    <row r="50" spans="1:12" x14ac:dyDescent="0.25">
      <c r="A50">
        <v>50</v>
      </c>
      <c r="B50" s="1">
        <v>46340</v>
      </c>
      <c r="C50" t="s">
        <v>28</v>
      </c>
      <c r="D50" t="s">
        <v>11</v>
      </c>
      <c r="E50" t="s">
        <v>29</v>
      </c>
      <c r="F50" t="s">
        <v>30</v>
      </c>
      <c r="G50">
        <v>5</v>
      </c>
      <c r="H50">
        <v>5</v>
      </c>
      <c r="I50" t="s">
        <v>42</v>
      </c>
      <c r="J50" t="s">
        <v>25</v>
      </c>
      <c r="K50">
        <v>25</v>
      </c>
      <c r="L50" t="str">
        <f>IF(Clean_Data_Analysis_Project[[#This Row],[TotalSales]]&gt;=500,"High","Low")</f>
        <v>Low</v>
      </c>
    </row>
    <row r="51" spans="1:12" x14ac:dyDescent="0.25">
      <c r="A51">
        <v>51</v>
      </c>
      <c r="B51" s="1">
        <v>46350</v>
      </c>
      <c r="C51" t="s">
        <v>16</v>
      </c>
      <c r="D51" t="s">
        <v>47</v>
      </c>
      <c r="E51" t="s">
        <v>12</v>
      </c>
      <c r="F51" t="s">
        <v>13</v>
      </c>
      <c r="G51">
        <v>7</v>
      </c>
      <c r="H51">
        <v>250</v>
      </c>
      <c r="I51" t="s">
        <v>48</v>
      </c>
      <c r="J51" t="s">
        <v>27</v>
      </c>
      <c r="K51">
        <v>1750</v>
      </c>
      <c r="L51" t="str">
        <f>IF(Clean_Data_Analysis_Project[[#This Row],[TotalSales]]&gt;=500,"High","Low")</f>
        <v>High</v>
      </c>
    </row>
    <row r="52" spans="1:12" x14ac:dyDescent="0.25">
      <c r="A52">
        <v>52</v>
      </c>
      <c r="B52" s="1">
        <v>46126</v>
      </c>
      <c r="C52" t="s">
        <v>41</v>
      </c>
      <c r="D52" t="s">
        <v>47</v>
      </c>
      <c r="E52" t="s">
        <v>33</v>
      </c>
      <c r="F52" t="s">
        <v>34</v>
      </c>
      <c r="G52">
        <v>5</v>
      </c>
      <c r="H52">
        <v>180</v>
      </c>
      <c r="I52" t="s">
        <v>26</v>
      </c>
      <c r="J52" t="s">
        <v>23</v>
      </c>
      <c r="K52">
        <v>900</v>
      </c>
      <c r="L52" t="str">
        <f>IF(Clean_Data_Analysis_Project[[#This Row],[TotalSales]]&gt;=500,"High","Low")</f>
        <v>High</v>
      </c>
    </row>
    <row r="53" spans="1:12" x14ac:dyDescent="0.25">
      <c r="A53">
        <v>53</v>
      </c>
      <c r="B53" s="1">
        <v>46362</v>
      </c>
      <c r="C53" t="s">
        <v>49</v>
      </c>
      <c r="D53" t="s">
        <v>17</v>
      </c>
      <c r="E53" t="s">
        <v>29</v>
      </c>
      <c r="F53" t="s">
        <v>30</v>
      </c>
      <c r="G53">
        <v>8</v>
      </c>
      <c r="H53">
        <v>5</v>
      </c>
      <c r="I53" t="s">
        <v>35</v>
      </c>
      <c r="J53" t="s">
        <v>27</v>
      </c>
      <c r="K53">
        <v>40</v>
      </c>
      <c r="L53" t="str">
        <f>IF(Clean_Data_Analysis_Project[[#This Row],[TotalSales]]&gt;=500,"High","Low")</f>
        <v>Low</v>
      </c>
    </row>
    <row r="54" spans="1:12" x14ac:dyDescent="0.25">
      <c r="A54">
        <v>54</v>
      </c>
      <c r="B54" s="1">
        <v>46138</v>
      </c>
      <c r="C54" t="s">
        <v>43</v>
      </c>
      <c r="D54" t="s">
        <v>11</v>
      </c>
      <c r="E54" t="s">
        <v>21</v>
      </c>
      <c r="F54" t="s">
        <v>13</v>
      </c>
      <c r="H54">
        <v>25</v>
      </c>
      <c r="I54" t="s">
        <v>26</v>
      </c>
      <c r="J54" t="s">
        <v>15</v>
      </c>
      <c r="L54" t="str">
        <f>IF(Clean_Data_Analysis_Project[[#This Row],[TotalSales]]&gt;=500,"High","Low")</f>
        <v>Low</v>
      </c>
    </row>
    <row r="55" spans="1:12" x14ac:dyDescent="0.25">
      <c r="A55">
        <v>55</v>
      </c>
      <c r="B55" s="1">
        <v>46224</v>
      </c>
      <c r="C55" t="s">
        <v>41</v>
      </c>
      <c r="D55" t="s">
        <v>11</v>
      </c>
      <c r="E55" t="s">
        <v>18</v>
      </c>
      <c r="F55" t="s">
        <v>13</v>
      </c>
      <c r="G55">
        <v>8</v>
      </c>
      <c r="H55">
        <v>1200</v>
      </c>
      <c r="I55" t="s">
        <v>26</v>
      </c>
      <c r="J55" t="s">
        <v>23</v>
      </c>
      <c r="K55">
        <v>9600</v>
      </c>
      <c r="L55" t="str">
        <f>IF(Clean_Data_Analysis_Project[[#This Row],[TotalSales]]&gt;=500,"High","Low")</f>
        <v>High</v>
      </c>
    </row>
    <row r="56" spans="1:12" x14ac:dyDescent="0.25">
      <c r="A56">
        <v>56</v>
      </c>
      <c r="B56" s="1">
        <v>46078</v>
      </c>
      <c r="C56" t="s">
        <v>38</v>
      </c>
      <c r="D56" t="s">
        <v>11</v>
      </c>
      <c r="E56" t="s">
        <v>21</v>
      </c>
      <c r="F56" t="s">
        <v>13</v>
      </c>
      <c r="G56">
        <v>1</v>
      </c>
      <c r="H56">
        <v>25</v>
      </c>
      <c r="I56" t="s">
        <v>40</v>
      </c>
      <c r="J56" t="s">
        <v>25</v>
      </c>
      <c r="K56">
        <v>25</v>
      </c>
      <c r="L56" t="str">
        <f>IF(Clean_Data_Analysis_Project[[#This Row],[TotalSales]]&gt;=500,"High","Low")</f>
        <v>Low</v>
      </c>
    </row>
    <row r="57" spans="1:12" x14ac:dyDescent="0.25">
      <c r="A57">
        <v>57</v>
      </c>
      <c r="B57" s="1">
        <v>46140</v>
      </c>
      <c r="C57" t="s">
        <v>49</v>
      </c>
      <c r="D57" t="s">
        <v>11</v>
      </c>
      <c r="E57" t="s">
        <v>18</v>
      </c>
      <c r="F57" t="s">
        <v>13</v>
      </c>
      <c r="G57">
        <v>9</v>
      </c>
      <c r="H57">
        <v>1200</v>
      </c>
      <c r="I57" t="s">
        <v>40</v>
      </c>
      <c r="J57" t="s">
        <v>15</v>
      </c>
      <c r="K57">
        <v>10800</v>
      </c>
      <c r="L57" t="str">
        <f>IF(Clean_Data_Analysis_Project[[#This Row],[TotalSales]]&gt;=500,"High","Low")</f>
        <v>High</v>
      </c>
    </row>
    <row r="58" spans="1:12" x14ac:dyDescent="0.25">
      <c r="A58">
        <v>58</v>
      </c>
      <c r="B58" s="1">
        <v>46254</v>
      </c>
      <c r="C58" t="s">
        <v>36</v>
      </c>
      <c r="D58" t="s">
        <v>11</v>
      </c>
      <c r="E58" t="s">
        <v>29</v>
      </c>
      <c r="F58" t="s">
        <v>30</v>
      </c>
      <c r="G58">
        <v>6</v>
      </c>
      <c r="H58">
        <v>5</v>
      </c>
      <c r="I58" t="s">
        <v>42</v>
      </c>
      <c r="J58" t="s">
        <v>25</v>
      </c>
      <c r="K58">
        <v>30</v>
      </c>
      <c r="L58" t="str">
        <f>IF(Clean_Data_Analysis_Project[[#This Row],[TotalSales]]&gt;=500,"High","Low")</f>
        <v>Low</v>
      </c>
    </row>
    <row r="59" spans="1:12" x14ac:dyDescent="0.25">
      <c r="A59">
        <v>59</v>
      </c>
      <c r="B59" s="1">
        <v>46139</v>
      </c>
      <c r="C59" t="s">
        <v>10</v>
      </c>
      <c r="D59" t="s">
        <v>47</v>
      </c>
      <c r="E59" t="s">
        <v>44</v>
      </c>
      <c r="F59" t="s">
        <v>34</v>
      </c>
      <c r="G59">
        <v>5</v>
      </c>
      <c r="H59">
        <v>95</v>
      </c>
      <c r="I59" t="s">
        <v>26</v>
      </c>
      <c r="J59" t="s">
        <v>27</v>
      </c>
      <c r="K59">
        <v>475</v>
      </c>
      <c r="L59" t="str">
        <f>IF(Clean_Data_Analysis_Project[[#This Row],[TotalSales]]&gt;=500,"High","Low")</f>
        <v>Low</v>
      </c>
    </row>
    <row r="60" spans="1:12" x14ac:dyDescent="0.25">
      <c r="A60">
        <v>60</v>
      </c>
      <c r="B60" s="1">
        <v>46121</v>
      </c>
      <c r="C60" t="s">
        <v>28</v>
      </c>
      <c r="D60" t="s">
        <v>17</v>
      </c>
      <c r="E60" t="s">
        <v>12</v>
      </c>
      <c r="F60" t="s">
        <v>13</v>
      </c>
      <c r="G60">
        <v>5</v>
      </c>
      <c r="H60">
        <v>250</v>
      </c>
      <c r="I60" t="s">
        <v>42</v>
      </c>
      <c r="J60" t="s">
        <v>23</v>
      </c>
      <c r="K60">
        <v>1250</v>
      </c>
      <c r="L60" t="str">
        <f>IF(Clean_Data_Analysis_Project[[#This Row],[TotalSales]]&gt;=500,"High","Low")</f>
        <v>High</v>
      </c>
    </row>
    <row r="61" spans="1:12" x14ac:dyDescent="0.25">
      <c r="A61">
        <v>61</v>
      </c>
      <c r="B61" s="1">
        <v>46363</v>
      </c>
      <c r="C61" t="s">
        <v>49</v>
      </c>
      <c r="D61" t="s">
        <v>11</v>
      </c>
      <c r="E61" t="s">
        <v>44</v>
      </c>
      <c r="F61" t="s">
        <v>34</v>
      </c>
      <c r="G61">
        <v>3</v>
      </c>
      <c r="H61">
        <v>95</v>
      </c>
      <c r="I61" t="s">
        <v>26</v>
      </c>
      <c r="J61" t="s">
        <v>27</v>
      </c>
      <c r="K61">
        <v>285</v>
      </c>
      <c r="L61" t="str">
        <f>IF(Clean_Data_Analysis_Project[[#This Row],[TotalSales]]&gt;=500,"High","Low")</f>
        <v>Low</v>
      </c>
    </row>
    <row r="62" spans="1:12" x14ac:dyDescent="0.25">
      <c r="A62">
        <v>62</v>
      </c>
      <c r="B62" s="1">
        <v>46228</v>
      </c>
      <c r="C62" t="s">
        <v>41</v>
      </c>
      <c r="D62" t="s">
        <v>17</v>
      </c>
      <c r="E62" t="s">
        <v>21</v>
      </c>
      <c r="F62" t="s">
        <v>13</v>
      </c>
      <c r="G62">
        <v>7</v>
      </c>
      <c r="H62">
        <v>25</v>
      </c>
      <c r="I62" t="s">
        <v>26</v>
      </c>
      <c r="J62" t="s">
        <v>25</v>
      </c>
      <c r="K62">
        <v>175</v>
      </c>
      <c r="L62" t="str">
        <f>IF(Clean_Data_Analysis_Project[[#This Row],[TotalSales]]&gt;=500,"High","Low")</f>
        <v>Low</v>
      </c>
    </row>
    <row r="63" spans="1:12" x14ac:dyDescent="0.25">
      <c r="A63">
        <v>63</v>
      </c>
      <c r="B63" s="1">
        <v>46167</v>
      </c>
      <c r="C63" t="s">
        <v>38</v>
      </c>
      <c r="D63" t="s">
        <v>11</v>
      </c>
      <c r="E63" t="s">
        <v>18</v>
      </c>
      <c r="F63" t="s">
        <v>13</v>
      </c>
      <c r="G63">
        <v>6</v>
      </c>
      <c r="H63">
        <v>1200</v>
      </c>
      <c r="I63" t="s">
        <v>48</v>
      </c>
      <c r="J63" t="s">
        <v>15</v>
      </c>
      <c r="K63">
        <v>7200</v>
      </c>
      <c r="L63" t="str">
        <f>IF(Clean_Data_Analysis_Project[[#This Row],[TotalSales]]&gt;=500,"High","Low")</f>
        <v>High</v>
      </c>
    </row>
    <row r="64" spans="1:12" x14ac:dyDescent="0.25">
      <c r="A64">
        <v>64</v>
      </c>
      <c r="B64" s="1">
        <v>46121</v>
      </c>
      <c r="C64" t="s">
        <v>38</v>
      </c>
      <c r="D64" t="s">
        <v>11</v>
      </c>
      <c r="E64" t="s">
        <v>21</v>
      </c>
      <c r="F64" t="s">
        <v>13</v>
      </c>
      <c r="H64">
        <v>25</v>
      </c>
      <c r="I64" t="s">
        <v>14</v>
      </c>
      <c r="J64" t="s">
        <v>25</v>
      </c>
      <c r="L64" t="str">
        <f>IF(Clean_Data_Analysis_Project[[#This Row],[TotalSales]]&gt;=500,"High","Low")</f>
        <v>Low</v>
      </c>
    </row>
    <row r="65" spans="1:12" x14ac:dyDescent="0.25">
      <c r="A65">
        <v>65</v>
      </c>
      <c r="B65" s="1">
        <v>46239</v>
      </c>
      <c r="C65" t="s">
        <v>41</v>
      </c>
      <c r="D65" t="s">
        <v>47</v>
      </c>
      <c r="E65" t="s">
        <v>12</v>
      </c>
      <c r="F65" t="s">
        <v>13</v>
      </c>
      <c r="H65">
        <v>250</v>
      </c>
      <c r="I65" t="s">
        <v>40</v>
      </c>
      <c r="J65" t="s">
        <v>27</v>
      </c>
      <c r="L65" t="str">
        <f>IF(Clean_Data_Analysis_Project[[#This Row],[TotalSales]]&gt;=500,"High","Low")</f>
        <v>Low</v>
      </c>
    </row>
    <row r="66" spans="1:12" x14ac:dyDescent="0.25">
      <c r="A66">
        <v>66</v>
      </c>
      <c r="B66" s="1">
        <v>46109</v>
      </c>
      <c r="C66" t="s">
        <v>20</v>
      </c>
      <c r="D66" t="s">
        <v>11</v>
      </c>
      <c r="E66" t="s">
        <v>18</v>
      </c>
      <c r="F66" t="s">
        <v>13</v>
      </c>
      <c r="G66">
        <v>7</v>
      </c>
      <c r="H66">
        <v>1200</v>
      </c>
      <c r="I66" t="s">
        <v>42</v>
      </c>
      <c r="J66" t="s">
        <v>25</v>
      </c>
      <c r="K66">
        <v>8400</v>
      </c>
      <c r="L66" t="str">
        <f>IF(Clean_Data_Analysis_Project[[#This Row],[TotalSales]]&gt;=500,"High","Low")</f>
        <v>High</v>
      </c>
    </row>
    <row r="67" spans="1:12" x14ac:dyDescent="0.25">
      <c r="A67">
        <v>67</v>
      </c>
      <c r="B67" s="1">
        <v>46212</v>
      </c>
      <c r="C67" t="s">
        <v>38</v>
      </c>
      <c r="D67" t="s">
        <v>17</v>
      </c>
      <c r="E67" t="s">
        <v>33</v>
      </c>
      <c r="F67" t="s">
        <v>34</v>
      </c>
      <c r="G67">
        <v>6</v>
      </c>
      <c r="H67">
        <v>180</v>
      </c>
      <c r="I67" t="s">
        <v>14</v>
      </c>
      <c r="J67" t="s">
        <v>15</v>
      </c>
      <c r="K67">
        <v>1080</v>
      </c>
      <c r="L67" t="str">
        <f>IF(Clean_Data_Analysis_Project[[#This Row],[TotalSales]]&gt;=500,"High","Low")</f>
        <v>High</v>
      </c>
    </row>
    <row r="68" spans="1:12" x14ac:dyDescent="0.25">
      <c r="A68">
        <v>68</v>
      </c>
      <c r="B68" s="1">
        <v>46133</v>
      </c>
      <c r="C68" t="s">
        <v>49</v>
      </c>
      <c r="D68" t="s">
        <v>17</v>
      </c>
      <c r="E68" t="s">
        <v>18</v>
      </c>
      <c r="F68" t="s">
        <v>13</v>
      </c>
      <c r="G68">
        <v>6</v>
      </c>
      <c r="H68">
        <v>1200</v>
      </c>
      <c r="I68" t="s">
        <v>42</v>
      </c>
      <c r="J68" t="s">
        <v>27</v>
      </c>
      <c r="K68">
        <v>7200</v>
      </c>
      <c r="L68" t="str">
        <f>IF(Clean_Data_Analysis_Project[[#This Row],[TotalSales]]&gt;=500,"High","Low")</f>
        <v>High</v>
      </c>
    </row>
    <row r="69" spans="1:12" x14ac:dyDescent="0.25">
      <c r="A69">
        <v>69</v>
      </c>
      <c r="B69" s="1">
        <v>46117</v>
      </c>
      <c r="C69" t="s">
        <v>20</v>
      </c>
      <c r="D69" t="s">
        <v>17</v>
      </c>
      <c r="E69" t="s">
        <v>29</v>
      </c>
      <c r="F69" t="s">
        <v>30</v>
      </c>
      <c r="G69">
        <v>3</v>
      </c>
      <c r="H69">
        <v>5</v>
      </c>
      <c r="I69" t="s">
        <v>14</v>
      </c>
      <c r="J69" t="s">
        <v>37</v>
      </c>
      <c r="K69">
        <v>15</v>
      </c>
      <c r="L69" t="str">
        <f>IF(Clean_Data_Analysis_Project[[#This Row],[TotalSales]]&gt;=500,"High","Low")</f>
        <v>Low</v>
      </c>
    </row>
    <row r="70" spans="1:12" x14ac:dyDescent="0.25">
      <c r="A70">
        <v>70</v>
      </c>
      <c r="B70" s="1">
        <v>46315</v>
      </c>
      <c r="C70" t="s">
        <v>49</v>
      </c>
      <c r="D70" t="s">
        <v>11</v>
      </c>
      <c r="E70" t="s">
        <v>33</v>
      </c>
      <c r="F70" t="s">
        <v>34</v>
      </c>
      <c r="G70">
        <v>3</v>
      </c>
      <c r="H70">
        <v>180</v>
      </c>
      <c r="I70" t="s">
        <v>19</v>
      </c>
      <c r="J70" t="s">
        <v>37</v>
      </c>
      <c r="K70">
        <v>540</v>
      </c>
      <c r="L70" t="str">
        <f>IF(Clean_Data_Analysis_Project[[#This Row],[TotalSales]]&gt;=500,"High","Low")</f>
        <v>High</v>
      </c>
    </row>
    <row r="71" spans="1:12" x14ac:dyDescent="0.25">
      <c r="A71">
        <v>71</v>
      </c>
      <c r="B71" s="1">
        <v>46226</v>
      </c>
      <c r="C71" t="s">
        <v>43</v>
      </c>
      <c r="D71" t="s">
        <v>17</v>
      </c>
      <c r="E71" t="s">
        <v>29</v>
      </c>
      <c r="F71" t="s">
        <v>30</v>
      </c>
      <c r="G71">
        <v>7</v>
      </c>
      <c r="H71">
        <v>5</v>
      </c>
      <c r="J71" t="s">
        <v>27</v>
      </c>
      <c r="K71">
        <v>35</v>
      </c>
      <c r="L71" t="str">
        <f>IF(Clean_Data_Analysis_Project[[#This Row],[TotalSales]]&gt;=500,"High","Low")</f>
        <v>Low</v>
      </c>
    </row>
    <row r="72" spans="1:12" x14ac:dyDescent="0.25">
      <c r="A72">
        <v>72</v>
      </c>
      <c r="B72" s="1">
        <v>46346</v>
      </c>
      <c r="C72" t="s">
        <v>49</v>
      </c>
      <c r="D72" t="s">
        <v>47</v>
      </c>
      <c r="E72" t="s">
        <v>12</v>
      </c>
      <c r="F72" t="s">
        <v>13</v>
      </c>
      <c r="G72">
        <v>5</v>
      </c>
      <c r="H72">
        <v>250</v>
      </c>
      <c r="I72" t="s">
        <v>26</v>
      </c>
      <c r="J72" t="s">
        <v>37</v>
      </c>
      <c r="K72">
        <v>1250</v>
      </c>
      <c r="L72" t="str">
        <f>IF(Clean_Data_Analysis_Project[[#This Row],[TotalSales]]&gt;=500,"High","Low")</f>
        <v>High</v>
      </c>
    </row>
    <row r="73" spans="1:12" x14ac:dyDescent="0.25">
      <c r="A73">
        <v>73</v>
      </c>
      <c r="B73" s="1">
        <v>46337</v>
      </c>
      <c r="C73" t="s">
        <v>16</v>
      </c>
      <c r="D73" t="s">
        <v>11</v>
      </c>
      <c r="E73" t="s">
        <v>18</v>
      </c>
      <c r="F73" t="s">
        <v>13</v>
      </c>
      <c r="G73">
        <v>9</v>
      </c>
      <c r="H73">
        <v>1200</v>
      </c>
      <c r="I73" t="s">
        <v>35</v>
      </c>
      <c r="J73" t="s">
        <v>25</v>
      </c>
      <c r="K73">
        <v>10800</v>
      </c>
      <c r="L73" t="str">
        <f>IF(Clean_Data_Analysis_Project[[#This Row],[TotalSales]]&gt;=500,"High","Low")</f>
        <v>High</v>
      </c>
    </row>
    <row r="74" spans="1:12" x14ac:dyDescent="0.25">
      <c r="A74">
        <v>74</v>
      </c>
      <c r="B74" s="1">
        <v>46209</v>
      </c>
      <c r="C74" t="s">
        <v>36</v>
      </c>
      <c r="D74" t="s">
        <v>17</v>
      </c>
      <c r="E74" t="s">
        <v>12</v>
      </c>
      <c r="F74" t="s">
        <v>13</v>
      </c>
      <c r="G74">
        <v>3</v>
      </c>
      <c r="H74">
        <v>250</v>
      </c>
      <c r="I74" t="s">
        <v>48</v>
      </c>
      <c r="J74" t="s">
        <v>25</v>
      </c>
      <c r="K74">
        <v>750</v>
      </c>
      <c r="L74" t="str">
        <f>IF(Clean_Data_Analysis_Project[[#This Row],[TotalSales]]&gt;=500,"High","Low")</f>
        <v>High</v>
      </c>
    </row>
    <row r="75" spans="1:12" x14ac:dyDescent="0.25">
      <c r="A75">
        <v>75</v>
      </c>
      <c r="B75" s="1">
        <v>46375</v>
      </c>
      <c r="C75" t="s">
        <v>10</v>
      </c>
      <c r="D75" t="s">
        <v>17</v>
      </c>
      <c r="E75" t="s">
        <v>44</v>
      </c>
      <c r="F75" t="s">
        <v>34</v>
      </c>
      <c r="G75">
        <v>7</v>
      </c>
      <c r="H75">
        <v>95</v>
      </c>
      <c r="I75" t="s">
        <v>19</v>
      </c>
      <c r="J75" t="s">
        <v>37</v>
      </c>
      <c r="K75">
        <v>665</v>
      </c>
      <c r="L75" t="str">
        <f>IF(Clean_Data_Analysis_Project[[#This Row],[TotalSales]]&gt;=500,"High","Low")</f>
        <v>High</v>
      </c>
    </row>
    <row r="76" spans="1:12" x14ac:dyDescent="0.25">
      <c r="A76">
        <v>76</v>
      </c>
      <c r="B76" s="1">
        <v>46253</v>
      </c>
      <c r="C76" t="s">
        <v>41</v>
      </c>
      <c r="D76" t="s">
        <v>11</v>
      </c>
      <c r="E76" t="s">
        <v>44</v>
      </c>
      <c r="F76" t="s">
        <v>34</v>
      </c>
      <c r="G76">
        <v>4</v>
      </c>
      <c r="H76">
        <v>95</v>
      </c>
      <c r="I76" t="s">
        <v>35</v>
      </c>
      <c r="J76" t="s">
        <v>23</v>
      </c>
      <c r="K76">
        <v>380</v>
      </c>
      <c r="L76" t="str">
        <f>IF(Clean_Data_Analysis_Project[[#This Row],[TotalSales]]&gt;=500,"High","Low")</f>
        <v>Low</v>
      </c>
    </row>
    <row r="77" spans="1:12" x14ac:dyDescent="0.25">
      <c r="A77">
        <v>77</v>
      </c>
      <c r="B77" s="1">
        <v>46199</v>
      </c>
      <c r="C77" t="s">
        <v>10</v>
      </c>
      <c r="D77" t="s">
        <v>17</v>
      </c>
      <c r="E77" t="s">
        <v>44</v>
      </c>
      <c r="F77" t="s">
        <v>34</v>
      </c>
      <c r="G77">
        <v>4</v>
      </c>
      <c r="H77">
        <v>95</v>
      </c>
      <c r="I77" t="s">
        <v>35</v>
      </c>
      <c r="J77" t="s">
        <v>15</v>
      </c>
      <c r="K77">
        <v>380</v>
      </c>
      <c r="L77" t="str">
        <f>IF(Clean_Data_Analysis_Project[[#This Row],[TotalSales]]&gt;=500,"High","Low")</f>
        <v>Low</v>
      </c>
    </row>
    <row r="78" spans="1:12" x14ac:dyDescent="0.25">
      <c r="A78">
        <v>78</v>
      </c>
      <c r="B78" s="1">
        <v>46115</v>
      </c>
      <c r="C78" t="s">
        <v>43</v>
      </c>
      <c r="D78" t="s">
        <v>11</v>
      </c>
      <c r="E78" t="s">
        <v>18</v>
      </c>
      <c r="F78" t="s">
        <v>13</v>
      </c>
      <c r="G78">
        <v>9</v>
      </c>
      <c r="H78">
        <v>1200</v>
      </c>
      <c r="I78" t="s">
        <v>14</v>
      </c>
      <c r="J78" t="s">
        <v>25</v>
      </c>
      <c r="K78">
        <v>10800</v>
      </c>
      <c r="L78" t="str">
        <f>IF(Clean_Data_Analysis_Project[[#This Row],[TotalSales]]&gt;=500,"High","Low")</f>
        <v>High</v>
      </c>
    </row>
    <row r="79" spans="1:12" x14ac:dyDescent="0.25">
      <c r="A79">
        <v>79</v>
      </c>
      <c r="B79" s="1">
        <v>46260</v>
      </c>
      <c r="C79" t="s">
        <v>16</v>
      </c>
      <c r="D79" t="s">
        <v>17</v>
      </c>
      <c r="E79" t="s">
        <v>12</v>
      </c>
      <c r="F79" t="s">
        <v>13</v>
      </c>
      <c r="G79">
        <v>8</v>
      </c>
      <c r="H79">
        <v>250</v>
      </c>
      <c r="I79" t="s">
        <v>42</v>
      </c>
      <c r="J79" t="s">
        <v>37</v>
      </c>
      <c r="K79">
        <v>2000</v>
      </c>
      <c r="L79" t="str">
        <f>IF(Clean_Data_Analysis_Project[[#This Row],[TotalSales]]&gt;=500,"High","Low")</f>
        <v>High</v>
      </c>
    </row>
    <row r="80" spans="1:12" x14ac:dyDescent="0.25">
      <c r="A80">
        <v>80</v>
      </c>
      <c r="B80" s="1">
        <v>46189</v>
      </c>
      <c r="C80" t="s">
        <v>36</v>
      </c>
      <c r="D80" t="s">
        <v>47</v>
      </c>
      <c r="E80" t="s">
        <v>12</v>
      </c>
      <c r="F80" t="s">
        <v>13</v>
      </c>
      <c r="G80">
        <v>10</v>
      </c>
      <c r="H80">
        <v>250</v>
      </c>
      <c r="I80" t="s">
        <v>40</v>
      </c>
      <c r="J80" t="s">
        <v>37</v>
      </c>
      <c r="K80">
        <v>2500</v>
      </c>
      <c r="L80" t="str">
        <f>IF(Clean_Data_Analysis_Project[[#This Row],[TotalSales]]&gt;=500,"High","Low")</f>
        <v>High</v>
      </c>
    </row>
    <row r="81" spans="1:12" x14ac:dyDescent="0.25">
      <c r="A81">
        <v>81</v>
      </c>
      <c r="B81" s="1">
        <v>46096</v>
      </c>
      <c r="C81" t="s">
        <v>10</v>
      </c>
      <c r="D81" t="s">
        <v>11</v>
      </c>
      <c r="E81" t="s">
        <v>33</v>
      </c>
      <c r="F81" t="s">
        <v>34</v>
      </c>
      <c r="G81">
        <v>8</v>
      </c>
      <c r="H81">
        <v>180</v>
      </c>
      <c r="I81" t="s">
        <v>19</v>
      </c>
      <c r="J81" t="s">
        <v>15</v>
      </c>
      <c r="K81">
        <v>1440</v>
      </c>
      <c r="L81" t="str">
        <f>IF(Clean_Data_Analysis_Project[[#This Row],[TotalSales]]&gt;=500,"High","Low")</f>
        <v>High</v>
      </c>
    </row>
    <row r="82" spans="1:12" x14ac:dyDescent="0.25">
      <c r="A82">
        <v>82</v>
      </c>
      <c r="B82" s="1">
        <v>46119</v>
      </c>
      <c r="C82" t="s">
        <v>20</v>
      </c>
      <c r="D82" t="s">
        <v>17</v>
      </c>
      <c r="E82" t="s">
        <v>12</v>
      </c>
      <c r="F82" t="s">
        <v>13</v>
      </c>
      <c r="G82">
        <v>3</v>
      </c>
      <c r="H82">
        <v>250</v>
      </c>
      <c r="I82" t="s">
        <v>40</v>
      </c>
      <c r="J82" t="s">
        <v>15</v>
      </c>
      <c r="K82">
        <v>750</v>
      </c>
      <c r="L82" t="str">
        <f>IF(Clean_Data_Analysis_Project[[#This Row],[TotalSales]]&gt;=500,"High","Low")</f>
        <v>High</v>
      </c>
    </row>
    <row r="83" spans="1:12" x14ac:dyDescent="0.25">
      <c r="A83">
        <v>83</v>
      </c>
      <c r="B83" s="1">
        <v>46122</v>
      </c>
      <c r="C83" t="s">
        <v>43</v>
      </c>
      <c r="D83" t="s">
        <v>17</v>
      </c>
      <c r="E83" t="s">
        <v>33</v>
      </c>
      <c r="F83" t="s">
        <v>34</v>
      </c>
      <c r="G83">
        <v>2</v>
      </c>
      <c r="I83" t="s">
        <v>40</v>
      </c>
      <c r="J83" t="s">
        <v>23</v>
      </c>
      <c r="L83" t="str">
        <f>IF(Clean_Data_Analysis_Project[[#This Row],[TotalSales]]&gt;=500,"High","Low")</f>
        <v>Low</v>
      </c>
    </row>
    <row r="84" spans="1:12" x14ac:dyDescent="0.25">
      <c r="A84">
        <v>84</v>
      </c>
      <c r="B84" s="1">
        <v>46040</v>
      </c>
      <c r="C84" t="s">
        <v>10</v>
      </c>
      <c r="D84" t="s">
        <v>11</v>
      </c>
      <c r="E84" t="s">
        <v>33</v>
      </c>
      <c r="F84" t="s">
        <v>34</v>
      </c>
      <c r="G84">
        <v>1</v>
      </c>
      <c r="H84">
        <v>180</v>
      </c>
      <c r="I84" t="s">
        <v>19</v>
      </c>
      <c r="J84" t="s">
        <v>27</v>
      </c>
      <c r="K84">
        <v>180</v>
      </c>
      <c r="L84" t="str">
        <f>IF(Clean_Data_Analysis_Project[[#This Row],[TotalSales]]&gt;=500,"High","Low")</f>
        <v>Low</v>
      </c>
    </row>
    <row r="85" spans="1:12" x14ac:dyDescent="0.25">
      <c r="A85">
        <v>85</v>
      </c>
      <c r="B85" s="1">
        <v>46250</v>
      </c>
      <c r="C85" t="s">
        <v>20</v>
      </c>
      <c r="D85" t="s">
        <v>17</v>
      </c>
      <c r="E85" t="s">
        <v>29</v>
      </c>
      <c r="F85" t="s">
        <v>30</v>
      </c>
      <c r="G85">
        <v>5</v>
      </c>
      <c r="H85">
        <v>5</v>
      </c>
      <c r="I85" t="s">
        <v>48</v>
      </c>
      <c r="J85" t="s">
        <v>25</v>
      </c>
      <c r="K85">
        <v>25</v>
      </c>
      <c r="L85" t="str">
        <f>IF(Clean_Data_Analysis_Project[[#This Row],[TotalSales]]&gt;=500,"High","Low")</f>
        <v>Low</v>
      </c>
    </row>
    <row r="86" spans="1:12" x14ac:dyDescent="0.25">
      <c r="A86">
        <v>86</v>
      </c>
      <c r="B86" s="1">
        <v>46219</v>
      </c>
      <c r="C86" t="s">
        <v>49</v>
      </c>
      <c r="D86" t="s">
        <v>47</v>
      </c>
      <c r="E86" t="s">
        <v>18</v>
      </c>
      <c r="F86" t="s">
        <v>13</v>
      </c>
      <c r="G86">
        <v>2</v>
      </c>
      <c r="H86">
        <v>1200</v>
      </c>
      <c r="I86" t="s">
        <v>42</v>
      </c>
      <c r="J86" t="s">
        <v>15</v>
      </c>
      <c r="K86">
        <v>2400</v>
      </c>
      <c r="L86" t="str">
        <f>IF(Clean_Data_Analysis_Project[[#This Row],[TotalSales]]&gt;=500,"High","Low")</f>
        <v>High</v>
      </c>
    </row>
    <row r="87" spans="1:12" x14ac:dyDescent="0.25">
      <c r="A87">
        <v>87</v>
      </c>
      <c r="B87" s="1">
        <v>46116</v>
      </c>
      <c r="C87" t="s">
        <v>36</v>
      </c>
      <c r="D87" t="s">
        <v>11</v>
      </c>
      <c r="E87" t="s">
        <v>33</v>
      </c>
      <c r="F87" t="s">
        <v>34</v>
      </c>
      <c r="G87">
        <v>2</v>
      </c>
      <c r="H87">
        <v>180</v>
      </c>
      <c r="I87" t="s">
        <v>42</v>
      </c>
      <c r="J87" t="s">
        <v>15</v>
      </c>
      <c r="K87">
        <v>360</v>
      </c>
      <c r="L87" t="str">
        <f>IF(Clean_Data_Analysis_Project[[#This Row],[TotalSales]]&gt;=500,"High","Low")</f>
        <v>Low</v>
      </c>
    </row>
    <row r="88" spans="1:12" x14ac:dyDescent="0.25">
      <c r="A88">
        <v>88</v>
      </c>
      <c r="B88" s="1">
        <v>46244</v>
      </c>
      <c r="C88" t="s">
        <v>41</v>
      </c>
      <c r="D88" t="s">
        <v>11</v>
      </c>
      <c r="E88" t="s">
        <v>44</v>
      </c>
      <c r="F88" t="s">
        <v>34</v>
      </c>
      <c r="G88">
        <v>8</v>
      </c>
      <c r="H88">
        <v>95</v>
      </c>
      <c r="I88" t="s">
        <v>40</v>
      </c>
      <c r="J88" t="s">
        <v>27</v>
      </c>
      <c r="K88">
        <v>760</v>
      </c>
      <c r="L88" t="str">
        <f>IF(Clean_Data_Analysis_Project[[#This Row],[TotalSales]]&gt;=500,"High","Low")</f>
        <v>High</v>
      </c>
    </row>
    <row r="89" spans="1:12" x14ac:dyDescent="0.25">
      <c r="A89">
        <v>89</v>
      </c>
      <c r="B89" s="1">
        <v>46164</v>
      </c>
      <c r="C89" t="s">
        <v>49</v>
      </c>
      <c r="D89" t="s">
        <v>11</v>
      </c>
      <c r="E89" t="s">
        <v>21</v>
      </c>
      <c r="F89" t="s">
        <v>13</v>
      </c>
      <c r="G89">
        <v>4</v>
      </c>
      <c r="H89">
        <v>25</v>
      </c>
      <c r="I89" t="s">
        <v>42</v>
      </c>
      <c r="J89" t="s">
        <v>27</v>
      </c>
      <c r="K89">
        <v>100</v>
      </c>
      <c r="L89" t="str">
        <f>IF(Clean_Data_Analysis_Project[[#This Row],[TotalSales]]&gt;=500,"High","Low")</f>
        <v>Low</v>
      </c>
    </row>
    <row r="90" spans="1:12" x14ac:dyDescent="0.25">
      <c r="A90">
        <v>90</v>
      </c>
      <c r="B90" s="1">
        <v>46376</v>
      </c>
      <c r="C90" t="s">
        <v>20</v>
      </c>
      <c r="D90" t="s">
        <v>17</v>
      </c>
      <c r="E90" t="s">
        <v>44</v>
      </c>
      <c r="F90" t="s">
        <v>34</v>
      </c>
      <c r="H90">
        <v>95</v>
      </c>
      <c r="I90" t="s">
        <v>35</v>
      </c>
      <c r="J90" t="s">
        <v>25</v>
      </c>
      <c r="L90" t="str">
        <f>IF(Clean_Data_Analysis_Project[[#This Row],[TotalSales]]&gt;=500,"High","Low")</f>
        <v>Low</v>
      </c>
    </row>
    <row r="91" spans="1:12" x14ac:dyDescent="0.25">
      <c r="A91">
        <v>91</v>
      </c>
      <c r="B91" s="1">
        <v>46168</v>
      </c>
      <c r="C91" t="s">
        <v>41</v>
      </c>
      <c r="D91" t="s">
        <v>11</v>
      </c>
      <c r="E91" t="s">
        <v>18</v>
      </c>
      <c r="F91" t="s">
        <v>13</v>
      </c>
      <c r="G91">
        <v>4</v>
      </c>
      <c r="H91">
        <v>1200</v>
      </c>
      <c r="I91" t="s">
        <v>14</v>
      </c>
      <c r="J91" t="s">
        <v>23</v>
      </c>
      <c r="K91">
        <v>4800</v>
      </c>
      <c r="L91" t="str">
        <f>IF(Clean_Data_Analysis_Project[[#This Row],[TotalSales]]&gt;=500,"High","Low")</f>
        <v>High</v>
      </c>
    </row>
    <row r="92" spans="1:12" x14ac:dyDescent="0.25">
      <c r="A92">
        <v>92</v>
      </c>
      <c r="B92" s="1">
        <v>46055</v>
      </c>
      <c r="C92" t="s">
        <v>24</v>
      </c>
      <c r="D92" t="s">
        <v>17</v>
      </c>
      <c r="E92" t="s">
        <v>33</v>
      </c>
      <c r="F92" t="s">
        <v>34</v>
      </c>
      <c r="G92">
        <v>3</v>
      </c>
      <c r="H92">
        <v>180</v>
      </c>
      <c r="I92" t="s">
        <v>35</v>
      </c>
      <c r="J92" t="s">
        <v>25</v>
      </c>
      <c r="K92">
        <v>540</v>
      </c>
      <c r="L92" t="str">
        <f>IF(Clean_Data_Analysis_Project[[#This Row],[TotalSales]]&gt;=500,"High","Low")</f>
        <v>High</v>
      </c>
    </row>
    <row r="93" spans="1:12" x14ac:dyDescent="0.25">
      <c r="A93">
        <v>93</v>
      </c>
      <c r="B93" s="1">
        <v>46366</v>
      </c>
      <c r="C93" t="s">
        <v>38</v>
      </c>
      <c r="D93" t="s">
        <v>17</v>
      </c>
      <c r="E93" t="s">
        <v>18</v>
      </c>
      <c r="F93" t="s">
        <v>13</v>
      </c>
      <c r="G93">
        <v>8</v>
      </c>
      <c r="H93">
        <v>1200</v>
      </c>
      <c r="I93" t="s">
        <v>19</v>
      </c>
      <c r="J93" t="s">
        <v>15</v>
      </c>
      <c r="K93">
        <v>9600</v>
      </c>
      <c r="L93" t="str">
        <f>IF(Clean_Data_Analysis_Project[[#This Row],[TotalSales]]&gt;=500,"High","Low")</f>
        <v>High</v>
      </c>
    </row>
    <row r="94" spans="1:12" x14ac:dyDescent="0.25">
      <c r="A94">
        <v>94</v>
      </c>
      <c r="B94" s="1">
        <v>46367</v>
      </c>
      <c r="C94" t="s">
        <v>41</v>
      </c>
      <c r="D94" t="s">
        <v>17</v>
      </c>
      <c r="E94" t="s">
        <v>18</v>
      </c>
      <c r="F94" t="s">
        <v>13</v>
      </c>
      <c r="H94">
        <v>1200</v>
      </c>
      <c r="I94" t="s">
        <v>14</v>
      </c>
      <c r="J94" t="s">
        <v>15</v>
      </c>
      <c r="L94" t="str">
        <f>IF(Clean_Data_Analysis_Project[[#This Row],[TotalSales]]&gt;=500,"High","Low")</f>
        <v>Low</v>
      </c>
    </row>
    <row r="95" spans="1:12" x14ac:dyDescent="0.25">
      <c r="A95">
        <v>95</v>
      </c>
      <c r="B95" s="1">
        <v>46353</v>
      </c>
      <c r="C95" t="s">
        <v>10</v>
      </c>
      <c r="D95" t="s">
        <v>47</v>
      </c>
      <c r="E95" t="s">
        <v>29</v>
      </c>
      <c r="F95" t="s">
        <v>30</v>
      </c>
      <c r="H95">
        <v>5</v>
      </c>
      <c r="I95" t="s">
        <v>26</v>
      </c>
      <c r="J95" t="s">
        <v>15</v>
      </c>
      <c r="L95" t="str">
        <f>IF(Clean_Data_Analysis_Project[[#This Row],[TotalSales]]&gt;=500,"High","Low")</f>
        <v>Low</v>
      </c>
    </row>
    <row r="96" spans="1:12" x14ac:dyDescent="0.25">
      <c r="A96">
        <v>96</v>
      </c>
      <c r="B96" s="1">
        <v>46148</v>
      </c>
      <c r="C96" t="s">
        <v>41</v>
      </c>
      <c r="D96" t="s">
        <v>11</v>
      </c>
      <c r="E96" t="s">
        <v>12</v>
      </c>
      <c r="F96" t="s">
        <v>13</v>
      </c>
      <c r="G96">
        <v>8</v>
      </c>
      <c r="H96">
        <v>250</v>
      </c>
      <c r="I96" t="s">
        <v>19</v>
      </c>
      <c r="J96" t="s">
        <v>25</v>
      </c>
      <c r="K96">
        <v>2000</v>
      </c>
      <c r="L96" t="str">
        <f>IF(Clean_Data_Analysis_Project[[#This Row],[TotalSales]]&gt;=500,"High","Low")</f>
        <v>High</v>
      </c>
    </row>
    <row r="97" spans="1:12" x14ac:dyDescent="0.25">
      <c r="A97">
        <v>97</v>
      </c>
      <c r="B97" s="1">
        <v>46184</v>
      </c>
      <c r="C97" t="s">
        <v>49</v>
      </c>
      <c r="D97" t="s">
        <v>11</v>
      </c>
      <c r="E97" t="s">
        <v>33</v>
      </c>
      <c r="F97" t="s">
        <v>34</v>
      </c>
      <c r="G97">
        <v>7</v>
      </c>
      <c r="H97">
        <v>180</v>
      </c>
      <c r="I97" t="s">
        <v>35</v>
      </c>
      <c r="J97" t="s">
        <v>25</v>
      </c>
      <c r="K97">
        <v>1260</v>
      </c>
      <c r="L97" t="str">
        <f>IF(Clean_Data_Analysis_Project[[#This Row],[TotalSales]]&gt;=500,"High","Low")</f>
        <v>High</v>
      </c>
    </row>
    <row r="98" spans="1:12" x14ac:dyDescent="0.25">
      <c r="A98">
        <v>98</v>
      </c>
      <c r="B98" s="1">
        <v>46237</v>
      </c>
      <c r="C98" t="s">
        <v>28</v>
      </c>
      <c r="D98" t="s">
        <v>17</v>
      </c>
      <c r="E98" t="s">
        <v>29</v>
      </c>
      <c r="F98" t="s">
        <v>30</v>
      </c>
      <c r="G98">
        <v>1</v>
      </c>
      <c r="H98">
        <v>5</v>
      </c>
      <c r="I98" t="s">
        <v>26</v>
      </c>
      <c r="J98" t="s">
        <v>15</v>
      </c>
      <c r="K98">
        <v>5</v>
      </c>
      <c r="L98" t="str">
        <f>IF(Clean_Data_Analysis_Project[[#This Row],[TotalSales]]&gt;=500,"High","Low")</f>
        <v>Low</v>
      </c>
    </row>
    <row r="99" spans="1:12" x14ac:dyDescent="0.25">
      <c r="A99">
        <v>99</v>
      </c>
      <c r="B99" s="1">
        <v>46248</v>
      </c>
      <c r="C99" t="s">
        <v>16</v>
      </c>
      <c r="D99" t="s">
        <v>11</v>
      </c>
      <c r="E99" t="s">
        <v>18</v>
      </c>
      <c r="F99" t="s">
        <v>13</v>
      </c>
      <c r="G99">
        <v>9</v>
      </c>
      <c r="H99">
        <v>1200</v>
      </c>
      <c r="I99" t="s">
        <v>26</v>
      </c>
      <c r="J99" t="s">
        <v>25</v>
      </c>
      <c r="K99">
        <v>10800</v>
      </c>
      <c r="L99" t="str">
        <f>IF(Clean_Data_Analysis_Project[[#This Row],[TotalSales]]&gt;=500,"High","Low")</f>
        <v>High</v>
      </c>
    </row>
    <row r="100" spans="1:12" x14ac:dyDescent="0.25">
      <c r="A100">
        <v>100</v>
      </c>
      <c r="B100" s="1">
        <v>46160</v>
      </c>
      <c r="C100" t="s">
        <v>24</v>
      </c>
      <c r="D100" t="s">
        <v>17</v>
      </c>
      <c r="E100" t="s">
        <v>18</v>
      </c>
      <c r="F100" t="s">
        <v>13</v>
      </c>
      <c r="G100">
        <v>4</v>
      </c>
      <c r="H100">
        <v>1200</v>
      </c>
      <c r="I100" t="s">
        <v>19</v>
      </c>
      <c r="J100" t="s">
        <v>27</v>
      </c>
      <c r="K100">
        <v>4800</v>
      </c>
      <c r="L100" t="str">
        <f>IF(Clean_Data_Analysis_Project[[#This Row],[TotalSales]]&gt;=500,"High","Low")</f>
        <v>High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B159-3747-4812-8AAE-0D78D302756C}">
  <dimension ref="A1:P100"/>
  <sheetViews>
    <sheetView tabSelected="1" topLeftCell="G1" workbookViewId="0">
      <selection activeCell="A4" sqref="A4"/>
    </sheetView>
  </sheetViews>
  <sheetFormatPr defaultRowHeight="15" x14ac:dyDescent="0.25"/>
  <cols>
    <col min="1" max="1" width="10.140625" customWidth="1"/>
    <col min="2" max="2" width="12.42578125" customWidth="1"/>
    <col min="3" max="3" width="17" customWidth="1"/>
    <col min="4" max="4" width="9.85546875" customWidth="1"/>
    <col min="5" max="5" width="10" customWidth="1"/>
    <col min="6" max="6" width="11" customWidth="1"/>
    <col min="7" max="7" width="10.85546875" customWidth="1"/>
    <col min="8" max="8" width="11.42578125" customWidth="1"/>
    <col min="9" max="9" width="9.140625" customWidth="1"/>
    <col min="10" max="10" width="13.85546875" customWidth="1"/>
    <col min="11" max="11" width="12.140625" customWidth="1"/>
    <col min="13" max="13" width="12.7109375" bestFit="1" customWidth="1"/>
    <col min="14" max="14" width="14" customWidth="1"/>
    <col min="15" max="15" width="19" customWidth="1"/>
    <col min="16" max="16" width="11.5703125" customWidth="1"/>
  </cols>
  <sheetData>
    <row r="1" spans="1:16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50</v>
      </c>
      <c r="N1" s="8" t="s">
        <v>52</v>
      </c>
      <c r="O1" s="9" t="s">
        <v>53</v>
      </c>
      <c r="P1" s="10" t="s">
        <v>54</v>
      </c>
    </row>
    <row r="2" spans="1:16" x14ac:dyDescent="0.25">
      <c r="A2" s="2">
        <v>1</v>
      </c>
      <c r="B2" s="5">
        <v>46046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>
        <v>250</v>
      </c>
      <c r="I2" s="2" t="s">
        <v>14</v>
      </c>
      <c r="J2" s="2" t="s">
        <v>15</v>
      </c>
      <c r="K2" s="2">
        <v>500</v>
      </c>
      <c r="N2">
        <f t="shared" ref="N2:N33" si="0">AVERAGE(K2)</f>
        <v>500</v>
      </c>
      <c r="O2" s="4">
        <f>MAX(K2:K100)</f>
        <v>12000</v>
      </c>
      <c r="P2">
        <f>MIN(Table3[TotalSales])</f>
        <v>5</v>
      </c>
    </row>
    <row r="3" spans="1:16" x14ac:dyDescent="0.25">
      <c r="A3" s="3">
        <v>2</v>
      </c>
      <c r="B3" s="6">
        <v>46205</v>
      </c>
      <c r="C3" s="3" t="s">
        <v>16</v>
      </c>
      <c r="D3" s="3" t="s">
        <v>17</v>
      </c>
      <c r="E3" s="3" t="s">
        <v>18</v>
      </c>
      <c r="F3" s="3" t="s">
        <v>13</v>
      </c>
      <c r="G3" s="3">
        <v>10</v>
      </c>
      <c r="H3" s="3">
        <v>1200</v>
      </c>
      <c r="I3" s="3" t="s">
        <v>19</v>
      </c>
      <c r="J3" s="3" t="s">
        <v>15</v>
      </c>
      <c r="K3" s="3">
        <v>12000</v>
      </c>
      <c r="M3" s="7" t="s">
        <v>51</v>
      </c>
      <c r="N3">
        <f t="shared" si="0"/>
        <v>12000</v>
      </c>
    </row>
    <row r="4" spans="1:16" x14ac:dyDescent="0.25">
      <c r="A4" s="2">
        <v>3</v>
      </c>
      <c r="B4" s="5">
        <v>46211</v>
      </c>
      <c r="C4" s="2" t="s">
        <v>20</v>
      </c>
      <c r="D4" s="2" t="s">
        <v>47</v>
      </c>
      <c r="E4" s="2" t="s">
        <v>21</v>
      </c>
      <c r="F4" s="2" t="s">
        <v>13</v>
      </c>
      <c r="G4" s="2">
        <v>9</v>
      </c>
      <c r="H4" s="2">
        <v>25</v>
      </c>
      <c r="I4" s="2" t="s">
        <v>48</v>
      </c>
      <c r="J4" s="2" t="s">
        <v>23</v>
      </c>
      <c r="K4" s="2">
        <v>225</v>
      </c>
      <c r="M4" s="4">
        <f>SUM(Clean_Data_Analysis_Project[TotalSales])</f>
        <v>199705</v>
      </c>
      <c r="N4">
        <f t="shared" si="0"/>
        <v>225</v>
      </c>
    </row>
    <row r="5" spans="1:16" x14ac:dyDescent="0.25">
      <c r="A5" s="3">
        <v>4</v>
      </c>
      <c r="B5" s="6">
        <v>46182</v>
      </c>
      <c r="C5" s="3" t="s">
        <v>24</v>
      </c>
      <c r="D5" s="3" t="s">
        <v>11</v>
      </c>
      <c r="E5" s="3" t="s">
        <v>12</v>
      </c>
      <c r="F5" s="3" t="s">
        <v>13</v>
      </c>
      <c r="G5" s="3">
        <v>7</v>
      </c>
      <c r="H5" s="3">
        <v>250</v>
      </c>
      <c r="I5" s="3" t="s">
        <v>19</v>
      </c>
      <c r="J5" s="3" t="s">
        <v>25</v>
      </c>
      <c r="K5" s="3">
        <v>1750</v>
      </c>
      <c r="N5">
        <f t="shared" si="0"/>
        <v>1750</v>
      </c>
      <c r="O5" s="14" t="s">
        <v>55</v>
      </c>
    </row>
    <row r="6" spans="1:16" x14ac:dyDescent="0.25">
      <c r="A6" s="2">
        <v>5</v>
      </c>
      <c r="B6" s="5">
        <v>46193</v>
      </c>
      <c r="C6" s="2" t="s">
        <v>10</v>
      </c>
      <c r="D6" s="2" t="s">
        <v>17</v>
      </c>
      <c r="E6" s="2" t="s">
        <v>18</v>
      </c>
      <c r="F6" s="2" t="s">
        <v>13</v>
      </c>
      <c r="G6" s="2">
        <v>6</v>
      </c>
      <c r="H6" s="2">
        <v>1200</v>
      </c>
      <c r="I6" s="2" t="s">
        <v>26</v>
      </c>
      <c r="J6" s="2" t="s">
        <v>27</v>
      </c>
      <c r="K6" s="2">
        <v>7200</v>
      </c>
      <c r="N6">
        <f t="shared" si="0"/>
        <v>7200</v>
      </c>
      <c r="O6">
        <f>COUNT(Table3[TotalSales])</f>
        <v>89</v>
      </c>
    </row>
    <row r="7" spans="1:16" x14ac:dyDescent="0.25">
      <c r="A7" s="3">
        <v>6</v>
      </c>
      <c r="B7" s="6">
        <v>46346</v>
      </c>
      <c r="C7" s="3" t="s">
        <v>28</v>
      </c>
      <c r="D7" s="3" t="s">
        <v>47</v>
      </c>
      <c r="E7" s="3" t="s">
        <v>29</v>
      </c>
      <c r="F7" s="3" t="s">
        <v>30</v>
      </c>
      <c r="G7" s="3">
        <v>5</v>
      </c>
      <c r="H7" s="3">
        <v>5</v>
      </c>
      <c r="I7" s="3" t="s">
        <v>14</v>
      </c>
      <c r="J7" s="3" t="s">
        <v>23</v>
      </c>
      <c r="K7" s="3">
        <v>25</v>
      </c>
      <c r="N7">
        <f t="shared" si="0"/>
        <v>25</v>
      </c>
    </row>
    <row r="8" spans="1:16" x14ac:dyDescent="0.25">
      <c r="A8" s="2">
        <v>7</v>
      </c>
      <c r="B8" s="5">
        <v>46140</v>
      </c>
      <c r="C8" s="2" t="s">
        <v>49</v>
      </c>
      <c r="D8" s="2" t="s">
        <v>11</v>
      </c>
      <c r="E8" s="2" t="s">
        <v>33</v>
      </c>
      <c r="F8" s="2" t="s">
        <v>34</v>
      </c>
      <c r="G8" s="2">
        <v>2</v>
      </c>
      <c r="H8" s="2">
        <v>180</v>
      </c>
      <c r="I8" s="2" t="s">
        <v>35</v>
      </c>
      <c r="J8" s="2" t="s">
        <v>23</v>
      </c>
      <c r="K8" s="2">
        <v>360</v>
      </c>
      <c r="N8">
        <f t="shared" si="0"/>
        <v>360</v>
      </c>
    </row>
    <row r="9" spans="1:16" x14ac:dyDescent="0.25">
      <c r="A9" s="3">
        <v>8</v>
      </c>
      <c r="B9" s="6">
        <v>46134</v>
      </c>
      <c r="C9" s="3" t="s">
        <v>10</v>
      </c>
      <c r="D9" s="3" t="s">
        <v>17</v>
      </c>
      <c r="E9" s="3" t="s">
        <v>33</v>
      </c>
      <c r="F9" s="3" t="s">
        <v>34</v>
      </c>
      <c r="G9" s="3">
        <v>6</v>
      </c>
      <c r="H9" s="3">
        <v>180</v>
      </c>
      <c r="I9" s="3" t="s">
        <v>14</v>
      </c>
      <c r="J9" s="3" t="s">
        <v>23</v>
      </c>
      <c r="K9" s="3">
        <v>1080</v>
      </c>
      <c r="N9">
        <f t="shared" si="0"/>
        <v>1080</v>
      </c>
    </row>
    <row r="10" spans="1:16" x14ac:dyDescent="0.25">
      <c r="A10" s="2">
        <v>9</v>
      </c>
      <c r="B10" s="5">
        <v>46212</v>
      </c>
      <c r="C10" s="2" t="s">
        <v>36</v>
      </c>
      <c r="D10" s="2" t="s">
        <v>11</v>
      </c>
      <c r="E10" s="2" t="s">
        <v>21</v>
      </c>
      <c r="F10" s="2" t="s">
        <v>13</v>
      </c>
      <c r="G10" s="2">
        <v>8</v>
      </c>
      <c r="H10" s="2">
        <v>25</v>
      </c>
      <c r="I10" s="2" t="s">
        <v>48</v>
      </c>
      <c r="J10" s="2" t="s">
        <v>27</v>
      </c>
      <c r="K10" s="2">
        <v>200</v>
      </c>
      <c r="N10">
        <f t="shared" si="0"/>
        <v>200</v>
      </c>
    </row>
    <row r="11" spans="1:16" x14ac:dyDescent="0.25">
      <c r="A11" s="3">
        <v>10</v>
      </c>
      <c r="B11" s="6">
        <v>46186</v>
      </c>
      <c r="C11" s="3" t="s">
        <v>10</v>
      </c>
      <c r="D11" s="3" t="s">
        <v>17</v>
      </c>
      <c r="E11" s="3" t="s">
        <v>21</v>
      </c>
      <c r="F11" s="3" t="s">
        <v>13</v>
      </c>
      <c r="G11" s="3">
        <v>1</v>
      </c>
      <c r="H11" s="3">
        <v>25</v>
      </c>
      <c r="I11" s="3" t="s">
        <v>14</v>
      </c>
      <c r="J11" s="3" t="s">
        <v>37</v>
      </c>
      <c r="K11" s="3">
        <v>25</v>
      </c>
      <c r="N11">
        <f t="shared" si="0"/>
        <v>25</v>
      </c>
    </row>
    <row r="12" spans="1:16" x14ac:dyDescent="0.25">
      <c r="A12" s="2">
        <v>12</v>
      </c>
      <c r="B12" s="5">
        <v>46222</v>
      </c>
      <c r="C12" s="2" t="s">
        <v>38</v>
      </c>
      <c r="D12" s="2" t="s">
        <v>17</v>
      </c>
      <c r="E12" s="2" t="s">
        <v>33</v>
      </c>
      <c r="F12" s="2" t="s">
        <v>34</v>
      </c>
      <c r="G12" s="2">
        <v>10</v>
      </c>
      <c r="H12" s="2">
        <v>180</v>
      </c>
      <c r="I12" s="2" t="s">
        <v>40</v>
      </c>
      <c r="J12" s="2" t="s">
        <v>25</v>
      </c>
      <c r="K12" s="2">
        <v>1800</v>
      </c>
      <c r="N12">
        <f t="shared" si="0"/>
        <v>1800</v>
      </c>
    </row>
    <row r="13" spans="1:16" x14ac:dyDescent="0.25">
      <c r="A13" s="3">
        <v>13</v>
      </c>
      <c r="B13" s="6">
        <v>46058</v>
      </c>
      <c r="C13" s="3" t="s">
        <v>24</v>
      </c>
      <c r="D13" s="3" t="s">
        <v>11</v>
      </c>
      <c r="E13" s="3" t="s">
        <v>18</v>
      </c>
      <c r="F13" s="3" t="s">
        <v>13</v>
      </c>
      <c r="G13" s="3">
        <v>1</v>
      </c>
      <c r="H13" s="3">
        <v>1200</v>
      </c>
      <c r="I13" s="3" t="s">
        <v>40</v>
      </c>
      <c r="J13" s="3" t="s">
        <v>25</v>
      </c>
      <c r="K13" s="3">
        <v>1200</v>
      </c>
      <c r="N13">
        <f t="shared" si="0"/>
        <v>1200</v>
      </c>
    </row>
    <row r="14" spans="1:16" x14ac:dyDescent="0.25">
      <c r="A14" s="2">
        <v>14</v>
      </c>
      <c r="B14" s="5">
        <v>46293</v>
      </c>
      <c r="C14" s="2" t="s">
        <v>16</v>
      </c>
      <c r="D14" s="2" t="s">
        <v>17</v>
      </c>
      <c r="E14" s="2" t="s">
        <v>29</v>
      </c>
      <c r="F14" s="2" t="s">
        <v>30</v>
      </c>
      <c r="G14" s="2">
        <v>5</v>
      </c>
      <c r="H14" s="2">
        <v>5</v>
      </c>
      <c r="I14" s="2" t="s">
        <v>35</v>
      </c>
      <c r="J14" s="2" t="s">
        <v>37</v>
      </c>
      <c r="K14" s="2">
        <v>25</v>
      </c>
      <c r="N14">
        <f t="shared" si="0"/>
        <v>25</v>
      </c>
    </row>
    <row r="15" spans="1:16" x14ac:dyDescent="0.25">
      <c r="A15" s="3">
        <v>15</v>
      </c>
      <c r="B15" s="6">
        <v>46209</v>
      </c>
      <c r="C15" s="3" t="s">
        <v>20</v>
      </c>
      <c r="D15" s="3" t="s">
        <v>17</v>
      </c>
      <c r="E15" s="3" t="s">
        <v>18</v>
      </c>
      <c r="F15" s="3" t="s">
        <v>13</v>
      </c>
      <c r="G15" s="3">
        <v>5</v>
      </c>
      <c r="H15" s="3">
        <v>1200</v>
      </c>
      <c r="I15" s="3" t="s">
        <v>35</v>
      </c>
      <c r="J15" s="3" t="s">
        <v>15</v>
      </c>
      <c r="K15" s="3">
        <v>6000</v>
      </c>
      <c r="N15">
        <f t="shared" si="0"/>
        <v>6000</v>
      </c>
    </row>
    <row r="16" spans="1:16" x14ac:dyDescent="0.25">
      <c r="A16" s="2">
        <v>16</v>
      </c>
      <c r="B16" s="5">
        <v>46081</v>
      </c>
      <c r="C16" s="2" t="s">
        <v>10</v>
      </c>
      <c r="D16" s="2" t="s">
        <v>47</v>
      </c>
      <c r="E16" s="2" t="s">
        <v>21</v>
      </c>
      <c r="F16" s="2" t="s">
        <v>13</v>
      </c>
      <c r="G16" s="2">
        <v>9</v>
      </c>
      <c r="H16" s="2">
        <v>25</v>
      </c>
      <c r="I16" s="2" t="s">
        <v>48</v>
      </c>
      <c r="J16" s="2" t="s">
        <v>23</v>
      </c>
      <c r="K16" s="2">
        <v>225</v>
      </c>
      <c r="N16">
        <f t="shared" si="0"/>
        <v>225</v>
      </c>
    </row>
    <row r="17" spans="1:14" x14ac:dyDescent="0.25">
      <c r="A17" s="3">
        <v>17</v>
      </c>
      <c r="B17" s="6">
        <v>46042</v>
      </c>
      <c r="C17" s="3" t="s">
        <v>28</v>
      </c>
      <c r="D17" s="3" t="s">
        <v>11</v>
      </c>
      <c r="E17" s="3" t="s">
        <v>29</v>
      </c>
      <c r="F17" s="3" t="s">
        <v>30</v>
      </c>
      <c r="G17" s="3"/>
      <c r="H17" s="3">
        <v>5</v>
      </c>
      <c r="I17" s="3" t="s">
        <v>48</v>
      </c>
      <c r="J17" s="3" t="s">
        <v>37</v>
      </c>
      <c r="K17" s="3"/>
      <c r="N17" t="e">
        <f t="shared" si="0"/>
        <v>#DIV/0!</v>
      </c>
    </row>
    <row r="18" spans="1:14" x14ac:dyDescent="0.25">
      <c r="A18" s="2">
        <v>18</v>
      </c>
      <c r="B18" s="5">
        <v>46131</v>
      </c>
      <c r="C18" s="2" t="s">
        <v>49</v>
      </c>
      <c r="D18" s="2" t="s">
        <v>17</v>
      </c>
      <c r="E18" s="2" t="s">
        <v>21</v>
      </c>
      <c r="F18" s="2" t="s">
        <v>13</v>
      </c>
      <c r="G18" s="2">
        <v>1</v>
      </c>
      <c r="H18" s="2">
        <v>25</v>
      </c>
      <c r="I18" s="2" t="s">
        <v>48</v>
      </c>
      <c r="J18" s="2" t="s">
        <v>15</v>
      </c>
      <c r="K18" s="2">
        <v>25</v>
      </c>
      <c r="N18">
        <f t="shared" si="0"/>
        <v>25</v>
      </c>
    </row>
    <row r="19" spans="1:14" x14ac:dyDescent="0.25">
      <c r="A19" s="3">
        <v>19</v>
      </c>
      <c r="B19" s="6">
        <v>46342</v>
      </c>
      <c r="C19" s="3" t="s">
        <v>36</v>
      </c>
      <c r="D19" s="3" t="s">
        <v>11</v>
      </c>
      <c r="E19" s="3" t="s">
        <v>21</v>
      </c>
      <c r="F19" s="3" t="s">
        <v>13</v>
      </c>
      <c r="G19" s="3">
        <v>3</v>
      </c>
      <c r="H19" s="3">
        <v>25</v>
      </c>
      <c r="I19" s="3" t="s">
        <v>26</v>
      </c>
      <c r="J19" s="3" t="s">
        <v>23</v>
      </c>
      <c r="K19" s="3">
        <v>75</v>
      </c>
      <c r="N19">
        <f t="shared" si="0"/>
        <v>75</v>
      </c>
    </row>
    <row r="20" spans="1:14" x14ac:dyDescent="0.25">
      <c r="A20" s="2">
        <v>20</v>
      </c>
      <c r="B20" s="5">
        <v>46366</v>
      </c>
      <c r="C20" s="2" t="s">
        <v>38</v>
      </c>
      <c r="D20" s="2" t="s">
        <v>17</v>
      </c>
      <c r="E20" s="2" t="s">
        <v>29</v>
      </c>
      <c r="F20" s="2" t="s">
        <v>30</v>
      </c>
      <c r="G20" s="2">
        <v>4</v>
      </c>
      <c r="H20" s="2">
        <v>5</v>
      </c>
      <c r="I20" s="2" t="s">
        <v>19</v>
      </c>
      <c r="J20" s="2" t="s">
        <v>23</v>
      </c>
      <c r="K20" s="2">
        <v>20</v>
      </c>
      <c r="N20">
        <f t="shared" si="0"/>
        <v>20</v>
      </c>
    </row>
    <row r="21" spans="1:14" x14ac:dyDescent="0.25">
      <c r="A21" s="3">
        <v>21</v>
      </c>
      <c r="B21" s="6">
        <v>46174</v>
      </c>
      <c r="C21" s="3" t="s">
        <v>41</v>
      </c>
      <c r="D21" s="3" t="s">
        <v>47</v>
      </c>
      <c r="E21" s="3" t="s">
        <v>21</v>
      </c>
      <c r="F21" s="3" t="s">
        <v>13</v>
      </c>
      <c r="G21" s="3">
        <v>2</v>
      </c>
      <c r="H21" s="3">
        <v>25</v>
      </c>
      <c r="I21" s="3" t="s">
        <v>19</v>
      </c>
      <c r="J21" s="3" t="s">
        <v>27</v>
      </c>
      <c r="K21" s="3">
        <v>50</v>
      </c>
      <c r="N21">
        <f t="shared" si="0"/>
        <v>50</v>
      </c>
    </row>
    <row r="22" spans="1:14" x14ac:dyDescent="0.25">
      <c r="A22" s="2">
        <v>22</v>
      </c>
      <c r="B22" s="5">
        <v>46050</v>
      </c>
      <c r="C22" s="2" t="s">
        <v>28</v>
      </c>
      <c r="D22" s="2" t="s">
        <v>17</v>
      </c>
      <c r="E22" s="2" t="s">
        <v>21</v>
      </c>
      <c r="F22" s="2" t="s">
        <v>13</v>
      </c>
      <c r="G22" s="2">
        <v>2</v>
      </c>
      <c r="H22" s="2">
        <v>25</v>
      </c>
      <c r="I22" s="2" t="s">
        <v>26</v>
      </c>
      <c r="J22" s="2" t="s">
        <v>23</v>
      </c>
      <c r="K22" s="2">
        <v>50</v>
      </c>
      <c r="N22">
        <f t="shared" si="0"/>
        <v>50</v>
      </c>
    </row>
    <row r="23" spans="1:14" x14ac:dyDescent="0.25">
      <c r="A23" s="3">
        <v>23</v>
      </c>
      <c r="B23" s="6">
        <v>46375</v>
      </c>
      <c r="C23" s="3" t="s">
        <v>41</v>
      </c>
      <c r="D23" s="3" t="s">
        <v>11</v>
      </c>
      <c r="E23" s="3" t="s">
        <v>29</v>
      </c>
      <c r="F23" s="3" t="s">
        <v>30</v>
      </c>
      <c r="G23" s="3">
        <v>3</v>
      </c>
      <c r="H23" s="3">
        <v>5</v>
      </c>
      <c r="I23" s="3" t="s">
        <v>26</v>
      </c>
      <c r="J23" s="3" t="s">
        <v>23</v>
      </c>
      <c r="K23" s="3">
        <v>15</v>
      </c>
      <c r="N23">
        <f t="shared" si="0"/>
        <v>15</v>
      </c>
    </row>
    <row r="24" spans="1:14" x14ac:dyDescent="0.25">
      <c r="A24" s="2">
        <v>24</v>
      </c>
      <c r="B24" s="5">
        <v>46340</v>
      </c>
      <c r="C24" s="2" t="s">
        <v>28</v>
      </c>
      <c r="D24" s="2" t="s">
        <v>11</v>
      </c>
      <c r="E24" s="2" t="s">
        <v>18</v>
      </c>
      <c r="F24" s="2" t="s">
        <v>13</v>
      </c>
      <c r="G24" s="2">
        <v>2</v>
      </c>
      <c r="H24" s="2">
        <v>1200</v>
      </c>
      <c r="I24" s="2" t="s">
        <v>19</v>
      </c>
      <c r="J24" s="2" t="s">
        <v>27</v>
      </c>
      <c r="K24" s="2">
        <v>2400</v>
      </c>
      <c r="N24">
        <f t="shared" si="0"/>
        <v>2400</v>
      </c>
    </row>
    <row r="25" spans="1:14" x14ac:dyDescent="0.25">
      <c r="A25" s="3">
        <v>25</v>
      </c>
      <c r="B25" s="6">
        <v>46367</v>
      </c>
      <c r="C25" s="3" t="s">
        <v>49</v>
      </c>
      <c r="D25" s="3" t="s">
        <v>11</v>
      </c>
      <c r="E25" s="3" t="s">
        <v>18</v>
      </c>
      <c r="F25" s="3" t="s">
        <v>13</v>
      </c>
      <c r="G25" s="3">
        <v>7</v>
      </c>
      <c r="H25" s="3">
        <v>1200</v>
      </c>
      <c r="I25" s="3" t="s">
        <v>42</v>
      </c>
      <c r="J25" s="3" t="s">
        <v>25</v>
      </c>
      <c r="K25" s="3">
        <v>8400</v>
      </c>
      <c r="N25">
        <f t="shared" si="0"/>
        <v>8400</v>
      </c>
    </row>
    <row r="26" spans="1:14" x14ac:dyDescent="0.25">
      <c r="A26" s="2">
        <v>26</v>
      </c>
      <c r="B26" s="5">
        <v>46242</v>
      </c>
      <c r="C26" s="2" t="s">
        <v>49</v>
      </c>
      <c r="D26" s="2" t="s">
        <v>11</v>
      </c>
      <c r="E26" s="2" t="s">
        <v>21</v>
      </c>
      <c r="F26" s="2" t="s">
        <v>13</v>
      </c>
      <c r="G26" s="2">
        <v>5</v>
      </c>
      <c r="H26" s="2">
        <v>25</v>
      </c>
      <c r="I26" s="2" t="s">
        <v>19</v>
      </c>
      <c r="J26" s="2" t="s">
        <v>27</v>
      </c>
      <c r="K26" s="2">
        <v>125</v>
      </c>
      <c r="N26">
        <f t="shared" si="0"/>
        <v>125</v>
      </c>
    </row>
    <row r="27" spans="1:14" x14ac:dyDescent="0.25">
      <c r="A27" s="3">
        <v>27</v>
      </c>
      <c r="B27" s="6">
        <v>46025</v>
      </c>
      <c r="C27" s="3" t="s">
        <v>43</v>
      </c>
      <c r="D27" s="3" t="s">
        <v>11</v>
      </c>
      <c r="E27" s="3" t="s">
        <v>12</v>
      </c>
      <c r="F27" s="3" t="s">
        <v>13</v>
      </c>
      <c r="G27" s="3">
        <v>9</v>
      </c>
      <c r="H27" s="3">
        <v>250</v>
      </c>
      <c r="I27" s="3" t="s">
        <v>48</v>
      </c>
      <c r="J27" s="3" t="s">
        <v>25</v>
      </c>
      <c r="K27" s="3">
        <v>2250</v>
      </c>
      <c r="N27">
        <f t="shared" si="0"/>
        <v>2250</v>
      </c>
    </row>
    <row r="28" spans="1:14" x14ac:dyDescent="0.25">
      <c r="A28" s="2">
        <v>28</v>
      </c>
      <c r="B28" s="5">
        <v>46204</v>
      </c>
      <c r="C28" s="2" t="s">
        <v>38</v>
      </c>
      <c r="D28" s="2" t="s">
        <v>17</v>
      </c>
      <c r="E28" s="2" t="s">
        <v>18</v>
      </c>
      <c r="F28" s="2" t="s">
        <v>13</v>
      </c>
      <c r="G28" s="2">
        <v>3</v>
      </c>
      <c r="H28" s="2">
        <v>1200</v>
      </c>
      <c r="I28" s="2" t="s">
        <v>35</v>
      </c>
      <c r="J28" s="2" t="s">
        <v>25</v>
      </c>
      <c r="K28" s="2">
        <v>3600</v>
      </c>
      <c r="N28">
        <f t="shared" si="0"/>
        <v>3600</v>
      </c>
    </row>
    <row r="29" spans="1:14" x14ac:dyDescent="0.25">
      <c r="A29" s="3">
        <v>29</v>
      </c>
      <c r="B29" s="6">
        <v>46349</v>
      </c>
      <c r="C29" s="3" t="s">
        <v>20</v>
      </c>
      <c r="D29" s="3" t="s">
        <v>11</v>
      </c>
      <c r="E29" s="3" t="s">
        <v>12</v>
      </c>
      <c r="F29" s="3" t="s">
        <v>13</v>
      </c>
      <c r="G29" s="3">
        <v>9</v>
      </c>
      <c r="H29" s="3">
        <v>250</v>
      </c>
      <c r="I29" s="3" t="s">
        <v>19</v>
      </c>
      <c r="J29" s="3" t="s">
        <v>15</v>
      </c>
      <c r="K29" s="3">
        <v>2250</v>
      </c>
      <c r="N29">
        <f t="shared" si="0"/>
        <v>2250</v>
      </c>
    </row>
    <row r="30" spans="1:14" x14ac:dyDescent="0.25">
      <c r="A30" s="2">
        <v>30</v>
      </c>
      <c r="B30" s="5">
        <v>46046</v>
      </c>
      <c r="C30" s="2" t="s">
        <v>28</v>
      </c>
      <c r="D30" s="2" t="s">
        <v>17</v>
      </c>
      <c r="E30" s="2" t="s">
        <v>12</v>
      </c>
      <c r="F30" s="2" t="s">
        <v>13</v>
      </c>
      <c r="G30" s="2">
        <v>9</v>
      </c>
      <c r="H30" s="2">
        <v>250</v>
      </c>
      <c r="I30" s="2" t="s">
        <v>48</v>
      </c>
      <c r="J30" s="2" t="s">
        <v>15</v>
      </c>
      <c r="K30" s="2">
        <v>2250</v>
      </c>
      <c r="N30">
        <f t="shared" si="0"/>
        <v>2250</v>
      </c>
    </row>
    <row r="31" spans="1:14" x14ac:dyDescent="0.25">
      <c r="A31" s="3">
        <v>31</v>
      </c>
      <c r="B31" s="6">
        <v>46268</v>
      </c>
      <c r="C31" s="3" t="s">
        <v>24</v>
      </c>
      <c r="D31" s="3" t="s">
        <v>17</v>
      </c>
      <c r="E31" s="3" t="s">
        <v>21</v>
      </c>
      <c r="F31" s="3" t="s">
        <v>13</v>
      </c>
      <c r="G31" s="3">
        <v>1</v>
      </c>
      <c r="H31" s="3">
        <v>25</v>
      </c>
      <c r="I31" s="3" t="s">
        <v>42</v>
      </c>
      <c r="J31" s="3" t="s">
        <v>25</v>
      </c>
      <c r="K31" s="3">
        <v>25</v>
      </c>
      <c r="N31">
        <f t="shared" si="0"/>
        <v>25</v>
      </c>
    </row>
    <row r="32" spans="1:14" x14ac:dyDescent="0.25">
      <c r="A32" s="2">
        <v>32</v>
      </c>
      <c r="B32" s="5">
        <v>46131</v>
      </c>
      <c r="C32" s="2" t="s">
        <v>41</v>
      </c>
      <c r="D32" s="2" t="s">
        <v>17</v>
      </c>
      <c r="E32" s="2" t="s">
        <v>18</v>
      </c>
      <c r="F32" s="2" t="s">
        <v>13</v>
      </c>
      <c r="G32" s="2">
        <v>10</v>
      </c>
      <c r="H32" s="2">
        <v>1200</v>
      </c>
      <c r="I32" s="2" t="s">
        <v>40</v>
      </c>
      <c r="J32" s="2" t="s">
        <v>15</v>
      </c>
      <c r="K32" s="2">
        <v>12000</v>
      </c>
      <c r="N32">
        <f t="shared" si="0"/>
        <v>12000</v>
      </c>
    </row>
    <row r="33" spans="1:14" x14ac:dyDescent="0.25">
      <c r="A33" s="3">
        <v>33</v>
      </c>
      <c r="B33" s="6">
        <v>46149</v>
      </c>
      <c r="C33" s="3" t="s">
        <v>28</v>
      </c>
      <c r="D33" s="3" t="s">
        <v>11</v>
      </c>
      <c r="E33" s="3" t="s">
        <v>29</v>
      </c>
      <c r="F33" s="3" t="s">
        <v>30</v>
      </c>
      <c r="G33" s="3">
        <v>6</v>
      </c>
      <c r="H33" s="3">
        <v>5</v>
      </c>
      <c r="I33" s="3" t="s">
        <v>14</v>
      </c>
      <c r="J33" s="3" t="s">
        <v>37</v>
      </c>
      <c r="K33" s="3">
        <v>30</v>
      </c>
      <c r="N33">
        <f t="shared" si="0"/>
        <v>30</v>
      </c>
    </row>
    <row r="34" spans="1:14" x14ac:dyDescent="0.25">
      <c r="A34" s="2">
        <v>34</v>
      </c>
      <c r="B34" s="5">
        <v>46054</v>
      </c>
      <c r="C34" s="2" t="s">
        <v>20</v>
      </c>
      <c r="D34" s="2" t="s">
        <v>47</v>
      </c>
      <c r="E34" s="2" t="s">
        <v>44</v>
      </c>
      <c r="F34" s="2" t="s">
        <v>34</v>
      </c>
      <c r="G34" s="2">
        <v>6</v>
      </c>
      <c r="H34" s="2">
        <v>95</v>
      </c>
      <c r="I34" s="2" t="s">
        <v>19</v>
      </c>
      <c r="J34" s="2" t="s">
        <v>15</v>
      </c>
      <c r="K34" s="2">
        <v>570</v>
      </c>
      <c r="N34">
        <f t="shared" ref="N34:N65" si="1">AVERAGE(K34)</f>
        <v>570</v>
      </c>
    </row>
    <row r="35" spans="1:14" x14ac:dyDescent="0.25">
      <c r="A35" s="3">
        <v>35</v>
      </c>
      <c r="B35" s="6">
        <v>46147</v>
      </c>
      <c r="C35" s="3" t="s">
        <v>28</v>
      </c>
      <c r="D35" s="3" t="s">
        <v>17</v>
      </c>
      <c r="E35" s="3" t="s">
        <v>21</v>
      </c>
      <c r="F35" s="3" t="s">
        <v>13</v>
      </c>
      <c r="G35" s="3">
        <v>9</v>
      </c>
      <c r="H35" s="3">
        <v>25</v>
      </c>
      <c r="I35" s="3" t="s">
        <v>42</v>
      </c>
      <c r="J35" s="3" t="s">
        <v>25</v>
      </c>
      <c r="K35" s="3">
        <v>225</v>
      </c>
      <c r="N35">
        <f t="shared" si="1"/>
        <v>225</v>
      </c>
    </row>
    <row r="36" spans="1:14" x14ac:dyDescent="0.25">
      <c r="A36" s="2">
        <v>36</v>
      </c>
      <c r="B36" s="5">
        <v>46321</v>
      </c>
      <c r="C36" s="2" t="s">
        <v>36</v>
      </c>
      <c r="D36" s="2" t="s">
        <v>17</v>
      </c>
      <c r="E36" s="2" t="s">
        <v>29</v>
      </c>
      <c r="F36" s="2" t="s">
        <v>30</v>
      </c>
      <c r="G36" s="2">
        <v>5</v>
      </c>
      <c r="H36" s="2">
        <v>5</v>
      </c>
      <c r="I36" s="2" t="s">
        <v>14</v>
      </c>
      <c r="J36" s="2" t="s">
        <v>27</v>
      </c>
      <c r="K36" s="2">
        <v>25</v>
      </c>
      <c r="N36">
        <f t="shared" si="1"/>
        <v>25</v>
      </c>
    </row>
    <row r="37" spans="1:14" x14ac:dyDescent="0.25">
      <c r="A37" s="3">
        <v>37</v>
      </c>
      <c r="B37" s="6">
        <v>46057</v>
      </c>
      <c r="C37" s="3" t="s">
        <v>36</v>
      </c>
      <c r="D37" s="3" t="s">
        <v>11</v>
      </c>
      <c r="E37" s="3" t="s">
        <v>21</v>
      </c>
      <c r="F37" s="3" t="s">
        <v>13</v>
      </c>
      <c r="G37" s="3">
        <v>5</v>
      </c>
      <c r="H37" s="3">
        <v>25</v>
      </c>
      <c r="I37" s="3" t="s">
        <v>14</v>
      </c>
      <c r="J37" s="3" t="s">
        <v>37</v>
      </c>
      <c r="K37" s="3">
        <v>125</v>
      </c>
      <c r="N37">
        <f t="shared" si="1"/>
        <v>125</v>
      </c>
    </row>
    <row r="38" spans="1:14" x14ac:dyDescent="0.25">
      <c r="A38" s="2">
        <v>38</v>
      </c>
      <c r="B38" s="5">
        <v>46281</v>
      </c>
      <c r="C38" s="2" t="s">
        <v>10</v>
      </c>
      <c r="D38" s="2" t="s">
        <v>17</v>
      </c>
      <c r="E38" s="2" t="s">
        <v>21</v>
      </c>
      <c r="F38" s="2" t="s">
        <v>13</v>
      </c>
      <c r="G38" s="2">
        <v>5</v>
      </c>
      <c r="H38" s="2">
        <v>25</v>
      </c>
      <c r="I38" s="2" t="s">
        <v>35</v>
      </c>
      <c r="J38" s="2" t="s">
        <v>27</v>
      </c>
      <c r="K38" s="2">
        <v>125</v>
      </c>
      <c r="N38">
        <f t="shared" si="1"/>
        <v>125</v>
      </c>
    </row>
    <row r="39" spans="1:14" x14ac:dyDescent="0.25">
      <c r="A39" s="3">
        <v>39</v>
      </c>
      <c r="B39" s="6">
        <v>46102</v>
      </c>
      <c r="C39" s="3" t="s">
        <v>10</v>
      </c>
      <c r="D39" s="3" t="s">
        <v>11</v>
      </c>
      <c r="E39" s="3" t="s">
        <v>18</v>
      </c>
      <c r="F39" s="3" t="s">
        <v>13</v>
      </c>
      <c r="G39" s="3">
        <v>6</v>
      </c>
      <c r="H39" s="3">
        <v>1200</v>
      </c>
      <c r="I39" s="3" t="s">
        <v>26</v>
      </c>
      <c r="J39" s="3" t="s">
        <v>15</v>
      </c>
      <c r="K39" s="3">
        <v>7200</v>
      </c>
      <c r="N39">
        <f t="shared" si="1"/>
        <v>7200</v>
      </c>
    </row>
    <row r="40" spans="1:14" x14ac:dyDescent="0.25">
      <c r="A40" s="2">
        <v>40</v>
      </c>
      <c r="B40" s="5">
        <v>46076</v>
      </c>
      <c r="C40" s="2" t="s">
        <v>24</v>
      </c>
      <c r="D40" s="2" t="s">
        <v>47</v>
      </c>
      <c r="E40" s="2" t="s">
        <v>18</v>
      </c>
      <c r="F40" s="2" t="s">
        <v>13</v>
      </c>
      <c r="G40" s="2"/>
      <c r="H40" s="2">
        <v>1200</v>
      </c>
      <c r="I40" s="2" t="s">
        <v>40</v>
      </c>
      <c r="J40" s="2" t="s">
        <v>23</v>
      </c>
      <c r="K40" s="2"/>
      <c r="N40" t="e">
        <f t="shared" si="1"/>
        <v>#DIV/0!</v>
      </c>
    </row>
    <row r="41" spans="1:14" x14ac:dyDescent="0.25">
      <c r="A41" s="3">
        <v>41</v>
      </c>
      <c r="B41" s="6">
        <v>46032</v>
      </c>
      <c r="C41" s="3" t="s">
        <v>28</v>
      </c>
      <c r="D41" s="3" t="s">
        <v>17</v>
      </c>
      <c r="E41" s="3" t="s">
        <v>44</v>
      </c>
      <c r="F41" s="3" t="s">
        <v>34</v>
      </c>
      <c r="G41" s="3">
        <v>3</v>
      </c>
      <c r="H41" s="3">
        <v>95</v>
      </c>
      <c r="I41" s="3" t="s">
        <v>42</v>
      </c>
      <c r="J41" s="3" t="s">
        <v>27</v>
      </c>
      <c r="K41" s="3">
        <v>285</v>
      </c>
      <c r="N41">
        <f t="shared" si="1"/>
        <v>285</v>
      </c>
    </row>
    <row r="42" spans="1:14" x14ac:dyDescent="0.25">
      <c r="A42" s="2">
        <v>42</v>
      </c>
      <c r="B42" s="5">
        <v>46223</v>
      </c>
      <c r="C42" s="2" t="s">
        <v>24</v>
      </c>
      <c r="D42" s="2" t="s">
        <v>11</v>
      </c>
      <c r="E42" s="2" t="s">
        <v>33</v>
      </c>
      <c r="F42" s="2" t="s">
        <v>34</v>
      </c>
      <c r="G42" s="2">
        <v>9</v>
      </c>
      <c r="H42" s="2">
        <v>180</v>
      </c>
      <c r="I42" s="2" t="s">
        <v>48</v>
      </c>
      <c r="J42" s="2" t="s">
        <v>23</v>
      </c>
      <c r="K42" s="2">
        <v>1620</v>
      </c>
      <c r="N42">
        <f t="shared" si="1"/>
        <v>1620</v>
      </c>
    </row>
    <row r="43" spans="1:14" x14ac:dyDescent="0.25">
      <c r="A43" s="3">
        <v>43</v>
      </c>
      <c r="B43" s="6">
        <v>46105</v>
      </c>
      <c r="C43" s="3" t="s">
        <v>28</v>
      </c>
      <c r="D43" s="3" t="s">
        <v>11</v>
      </c>
      <c r="E43" s="3" t="s">
        <v>44</v>
      </c>
      <c r="F43" s="3" t="s">
        <v>34</v>
      </c>
      <c r="G43" s="3">
        <v>1</v>
      </c>
      <c r="H43" s="3">
        <v>95</v>
      </c>
      <c r="I43" s="3" t="s">
        <v>48</v>
      </c>
      <c r="J43" s="3" t="s">
        <v>23</v>
      </c>
      <c r="K43" s="3">
        <v>95</v>
      </c>
      <c r="N43">
        <f t="shared" si="1"/>
        <v>95</v>
      </c>
    </row>
    <row r="44" spans="1:14" x14ac:dyDescent="0.25">
      <c r="A44" s="2">
        <v>44</v>
      </c>
      <c r="B44" s="5">
        <v>46360</v>
      </c>
      <c r="C44" s="2" t="s">
        <v>38</v>
      </c>
      <c r="D44" s="2" t="s">
        <v>17</v>
      </c>
      <c r="E44" s="2" t="s">
        <v>33</v>
      </c>
      <c r="F44" s="2" t="s">
        <v>34</v>
      </c>
      <c r="G44" s="2">
        <v>3</v>
      </c>
      <c r="H44" s="2">
        <v>180</v>
      </c>
      <c r="I44" s="2" t="s">
        <v>48</v>
      </c>
      <c r="J44" s="2" t="s">
        <v>25</v>
      </c>
      <c r="K44" s="2">
        <v>540</v>
      </c>
      <c r="N44">
        <f t="shared" si="1"/>
        <v>540</v>
      </c>
    </row>
    <row r="45" spans="1:14" x14ac:dyDescent="0.25">
      <c r="A45" s="3">
        <v>45</v>
      </c>
      <c r="B45" s="6">
        <v>46120</v>
      </c>
      <c r="C45" s="3" t="s">
        <v>16</v>
      </c>
      <c r="D45" s="3" t="s">
        <v>11</v>
      </c>
      <c r="E45" s="3" t="s">
        <v>33</v>
      </c>
      <c r="F45" s="3" t="s">
        <v>34</v>
      </c>
      <c r="G45" s="3">
        <v>5</v>
      </c>
      <c r="H45" s="3">
        <v>180</v>
      </c>
      <c r="I45" s="3" t="s">
        <v>19</v>
      </c>
      <c r="J45" s="3" t="s">
        <v>37</v>
      </c>
      <c r="K45" s="3">
        <v>900</v>
      </c>
      <c r="N45">
        <f t="shared" si="1"/>
        <v>900</v>
      </c>
    </row>
    <row r="46" spans="1:14" x14ac:dyDescent="0.25">
      <c r="A46" s="2">
        <v>46</v>
      </c>
      <c r="B46" s="5">
        <v>46225</v>
      </c>
      <c r="C46" s="2" t="s">
        <v>36</v>
      </c>
      <c r="D46" s="2" t="s">
        <v>17</v>
      </c>
      <c r="E46" s="2" t="s">
        <v>33</v>
      </c>
      <c r="F46" s="2" t="s">
        <v>34</v>
      </c>
      <c r="G46" s="2">
        <v>9</v>
      </c>
      <c r="H46" s="2">
        <v>180</v>
      </c>
      <c r="I46" s="2" t="s">
        <v>35</v>
      </c>
      <c r="J46" s="2" t="s">
        <v>23</v>
      </c>
      <c r="K46" s="2">
        <v>1620</v>
      </c>
      <c r="N46">
        <f t="shared" si="1"/>
        <v>1620</v>
      </c>
    </row>
    <row r="47" spans="1:14" x14ac:dyDescent="0.25">
      <c r="A47" s="3">
        <v>47</v>
      </c>
      <c r="B47" s="6">
        <v>46026</v>
      </c>
      <c r="C47" s="3" t="s">
        <v>41</v>
      </c>
      <c r="D47" s="3" t="s">
        <v>11</v>
      </c>
      <c r="E47" s="3" t="s">
        <v>29</v>
      </c>
      <c r="F47" s="3" t="s">
        <v>30</v>
      </c>
      <c r="G47" s="3">
        <v>5</v>
      </c>
      <c r="H47" s="3">
        <v>5</v>
      </c>
      <c r="I47" s="3" t="s">
        <v>26</v>
      </c>
      <c r="J47" s="3" t="s">
        <v>15</v>
      </c>
      <c r="K47" s="3">
        <v>25</v>
      </c>
      <c r="N47">
        <f t="shared" si="1"/>
        <v>25</v>
      </c>
    </row>
    <row r="48" spans="1:14" x14ac:dyDescent="0.25">
      <c r="A48" s="2">
        <v>48</v>
      </c>
      <c r="B48" s="5">
        <v>46222</v>
      </c>
      <c r="C48" s="2" t="s">
        <v>43</v>
      </c>
      <c r="D48" s="2" t="s">
        <v>17</v>
      </c>
      <c r="E48" s="2" t="s">
        <v>29</v>
      </c>
      <c r="F48" s="2" t="s">
        <v>30</v>
      </c>
      <c r="G48" s="2"/>
      <c r="H48" s="2">
        <v>5</v>
      </c>
      <c r="I48" s="2" t="s">
        <v>40</v>
      </c>
      <c r="J48" s="2" t="s">
        <v>15</v>
      </c>
      <c r="K48" s="2"/>
      <c r="N48" t="e">
        <f t="shared" si="1"/>
        <v>#DIV/0!</v>
      </c>
    </row>
    <row r="49" spans="1:14" x14ac:dyDescent="0.25">
      <c r="A49" s="3">
        <v>49</v>
      </c>
      <c r="B49" s="6">
        <v>46187</v>
      </c>
      <c r="C49" s="3" t="s">
        <v>49</v>
      </c>
      <c r="D49" s="3" t="s">
        <v>17</v>
      </c>
      <c r="E49" s="3" t="s">
        <v>12</v>
      </c>
      <c r="F49" s="3" t="s">
        <v>13</v>
      </c>
      <c r="G49" s="3">
        <v>4</v>
      </c>
      <c r="H49" s="3">
        <v>250</v>
      </c>
      <c r="I49" s="3" t="s">
        <v>19</v>
      </c>
      <c r="J49" s="3" t="s">
        <v>37</v>
      </c>
      <c r="K49" s="3">
        <v>1000</v>
      </c>
      <c r="N49">
        <f t="shared" si="1"/>
        <v>1000</v>
      </c>
    </row>
    <row r="50" spans="1:14" x14ac:dyDescent="0.25">
      <c r="A50" s="2">
        <v>50</v>
      </c>
      <c r="B50" s="5">
        <v>46340</v>
      </c>
      <c r="C50" s="2" t="s">
        <v>28</v>
      </c>
      <c r="D50" s="2" t="s">
        <v>11</v>
      </c>
      <c r="E50" s="2" t="s">
        <v>29</v>
      </c>
      <c r="F50" s="2" t="s">
        <v>30</v>
      </c>
      <c r="G50" s="2">
        <v>5</v>
      </c>
      <c r="H50" s="2">
        <v>5</v>
      </c>
      <c r="I50" s="2" t="s">
        <v>42</v>
      </c>
      <c r="J50" s="2" t="s">
        <v>25</v>
      </c>
      <c r="K50" s="2">
        <v>25</v>
      </c>
      <c r="N50">
        <f t="shared" si="1"/>
        <v>25</v>
      </c>
    </row>
    <row r="51" spans="1:14" x14ac:dyDescent="0.25">
      <c r="A51" s="3">
        <v>51</v>
      </c>
      <c r="B51" s="6">
        <v>46350</v>
      </c>
      <c r="C51" s="3" t="s">
        <v>16</v>
      </c>
      <c r="D51" s="3" t="s">
        <v>47</v>
      </c>
      <c r="E51" s="3" t="s">
        <v>12</v>
      </c>
      <c r="F51" s="3" t="s">
        <v>13</v>
      </c>
      <c r="G51" s="3">
        <v>7</v>
      </c>
      <c r="H51" s="3">
        <v>250</v>
      </c>
      <c r="I51" s="3" t="s">
        <v>48</v>
      </c>
      <c r="J51" s="3" t="s">
        <v>27</v>
      </c>
      <c r="K51" s="3">
        <v>1750</v>
      </c>
      <c r="N51">
        <f t="shared" si="1"/>
        <v>1750</v>
      </c>
    </row>
    <row r="52" spans="1:14" x14ac:dyDescent="0.25">
      <c r="A52" s="2">
        <v>52</v>
      </c>
      <c r="B52" s="5">
        <v>46126</v>
      </c>
      <c r="C52" s="2" t="s">
        <v>41</v>
      </c>
      <c r="D52" s="2" t="s">
        <v>47</v>
      </c>
      <c r="E52" s="2" t="s">
        <v>33</v>
      </c>
      <c r="F52" s="2" t="s">
        <v>34</v>
      </c>
      <c r="G52" s="2">
        <v>5</v>
      </c>
      <c r="H52" s="2">
        <v>180</v>
      </c>
      <c r="I52" s="2" t="s">
        <v>26</v>
      </c>
      <c r="J52" s="2" t="s">
        <v>23</v>
      </c>
      <c r="K52" s="2">
        <v>900</v>
      </c>
      <c r="N52">
        <f t="shared" si="1"/>
        <v>900</v>
      </c>
    </row>
    <row r="53" spans="1:14" x14ac:dyDescent="0.25">
      <c r="A53" s="3">
        <v>53</v>
      </c>
      <c r="B53" s="6">
        <v>46362</v>
      </c>
      <c r="C53" s="3" t="s">
        <v>49</v>
      </c>
      <c r="D53" s="3" t="s">
        <v>17</v>
      </c>
      <c r="E53" s="3" t="s">
        <v>29</v>
      </c>
      <c r="F53" s="3" t="s">
        <v>30</v>
      </c>
      <c r="G53" s="3">
        <v>8</v>
      </c>
      <c r="H53" s="3">
        <v>5</v>
      </c>
      <c r="I53" s="3" t="s">
        <v>35</v>
      </c>
      <c r="J53" s="3" t="s">
        <v>27</v>
      </c>
      <c r="K53" s="3">
        <v>40</v>
      </c>
      <c r="N53">
        <f t="shared" si="1"/>
        <v>40</v>
      </c>
    </row>
    <row r="54" spans="1:14" x14ac:dyDescent="0.25">
      <c r="A54" s="2">
        <v>54</v>
      </c>
      <c r="B54" s="5">
        <v>46138</v>
      </c>
      <c r="C54" s="2" t="s">
        <v>43</v>
      </c>
      <c r="D54" s="2" t="s">
        <v>11</v>
      </c>
      <c r="E54" s="2" t="s">
        <v>21</v>
      </c>
      <c r="F54" s="2" t="s">
        <v>13</v>
      </c>
      <c r="G54" s="2"/>
      <c r="H54" s="2">
        <v>25</v>
      </c>
      <c r="I54" s="2" t="s">
        <v>26</v>
      </c>
      <c r="J54" s="2" t="s">
        <v>15</v>
      </c>
      <c r="K54" s="2"/>
      <c r="N54" t="e">
        <f t="shared" si="1"/>
        <v>#DIV/0!</v>
      </c>
    </row>
    <row r="55" spans="1:14" x14ac:dyDescent="0.25">
      <c r="A55" s="3">
        <v>55</v>
      </c>
      <c r="B55" s="6">
        <v>46224</v>
      </c>
      <c r="C55" s="3" t="s">
        <v>41</v>
      </c>
      <c r="D55" s="3" t="s">
        <v>11</v>
      </c>
      <c r="E55" s="3" t="s">
        <v>18</v>
      </c>
      <c r="F55" s="3" t="s">
        <v>13</v>
      </c>
      <c r="G55" s="3">
        <v>8</v>
      </c>
      <c r="H55" s="3">
        <v>1200</v>
      </c>
      <c r="I55" s="3" t="s">
        <v>26</v>
      </c>
      <c r="J55" s="3" t="s">
        <v>23</v>
      </c>
      <c r="K55" s="3">
        <v>9600</v>
      </c>
      <c r="N55">
        <f t="shared" si="1"/>
        <v>9600</v>
      </c>
    </row>
    <row r="56" spans="1:14" x14ac:dyDescent="0.25">
      <c r="A56" s="2">
        <v>56</v>
      </c>
      <c r="B56" s="5">
        <v>46078</v>
      </c>
      <c r="C56" s="2" t="s">
        <v>38</v>
      </c>
      <c r="D56" s="2" t="s">
        <v>11</v>
      </c>
      <c r="E56" s="2" t="s">
        <v>21</v>
      </c>
      <c r="F56" s="2" t="s">
        <v>13</v>
      </c>
      <c r="G56" s="2">
        <v>1</v>
      </c>
      <c r="H56" s="2">
        <v>25</v>
      </c>
      <c r="I56" s="2" t="s">
        <v>40</v>
      </c>
      <c r="J56" s="2" t="s">
        <v>25</v>
      </c>
      <c r="K56" s="2">
        <v>25</v>
      </c>
      <c r="N56">
        <f t="shared" si="1"/>
        <v>25</v>
      </c>
    </row>
    <row r="57" spans="1:14" x14ac:dyDescent="0.25">
      <c r="A57" s="3">
        <v>57</v>
      </c>
      <c r="B57" s="6">
        <v>46140</v>
      </c>
      <c r="C57" s="3" t="s">
        <v>49</v>
      </c>
      <c r="D57" s="3" t="s">
        <v>11</v>
      </c>
      <c r="E57" s="3" t="s">
        <v>18</v>
      </c>
      <c r="F57" s="3" t="s">
        <v>13</v>
      </c>
      <c r="G57" s="3">
        <v>9</v>
      </c>
      <c r="H57" s="3">
        <v>1200</v>
      </c>
      <c r="I57" s="3" t="s">
        <v>40</v>
      </c>
      <c r="J57" s="3" t="s">
        <v>15</v>
      </c>
      <c r="K57" s="3">
        <v>10800</v>
      </c>
      <c r="N57">
        <f t="shared" si="1"/>
        <v>10800</v>
      </c>
    </row>
    <row r="58" spans="1:14" x14ac:dyDescent="0.25">
      <c r="A58" s="2">
        <v>58</v>
      </c>
      <c r="B58" s="5">
        <v>46254</v>
      </c>
      <c r="C58" s="2" t="s">
        <v>36</v>
      </c>
      <c r="D58" s="2" t="s">
        <v>11</v>
      </c>
      <c r="E58" s="2" t="s">
        <v>29</v>
      </c>
      <c r="F58" s="2" t="s">
        <v>30</v>
      </c>
      <c r="G58" s="2">
        <v>6</v>
      </c>
      <c r="H58" s="2">
        <v>5</v>
      </c>
      <c r="I58" s="2" t="s">
        <v>42</v>
      </c>
      <c r="J58" s="2" t="s">
        <v>25</v>
      </c>
      <c r="K58" s="2">
        <v>30</v>
      </c>
      <c r="N58">
        <f t="shared" si="1"/>
        <v>30</v>
      </c>
    </row>
    <row r="59" spans="1:14" x14ac:dyDescent="0.25">
      <c r="A59" s="3">
        <v>59</v>
      </c>
      <c r="B59" s="6">
        <v>46139</v>
      </c>
      <c r="C59" s="3" t="s">
        <v>10</v>
      </c>
      <c r="D59" s="3" t="s">
        <v>47</v>
      </c>
      <c r="E59" s="3" t="s">
        <v>44</v>
      </c>
      <c r="F59" s="3" t="s">
        <v>34</v>
      </c>
      <c r="G59" s="3">
        <v>5</v>
      </c>
      <c r="H59" s="3">
        <v>95</v>
      </c>
      <c r="I59" s="3" t="s">
        <v>26</v>
      </c>
      <c r="J59" s="3" t="s">
        <v>27</v>
      </c>
      <c r="K59" s="3">
        <v>475</v>
      </c>
      <c r="N59">
        <f t="shared" si="1"/>
        <v>475</v>
      </c>
    </row>
    <row r="60" spans="1:14" x14ac:dyDescent="0.25">
      <c r="A60" s="2">
        <v>60</v>
      </c>
      <c r="B60" s="5">
        <v>46121</v>
      </c>
      <c r="C60" s="2" t="s">
        <v>28</v>
      </c>
      <c r="D60" s="2" t="s">
        <v>17</v>
      </c>
      <c r="E60" s="2" t="s">
        <v>12</v>
      </c>
      <c r="F60" s="2" t="s">
        <v>13</v>
      </c>
      <c r="G60" s="2">
        <v>5</v>
      </c>
      <c r="H60" s="2">
        <v>250</v>
      </c>
      <c r="I60" s="2" t="s">
        <v>42</v>
      </c>
      <c r="J60" s="2" t="s">
        <v>23</v>
      </c>
      <c r="K60" s="2">
        <v>1250</v>
      </c>
      <c r="N60">
        <f t="shared" si="1"/>
        <v>1250</v>
      </c>
    </row>
    <row r="61" spans="1:14" x14ac:dyDescent="0.25">
      <c r="A61" s="3">
        <v>61</v>
      </c>
      <c r="B61" s="6">
        <v>46363</v>
      </c>
      <c r="C61" s="3" t="s">
        <v>49</v>
      </c>
      <c r="D61" s="3" t="s">
        <v>11</v>
      </c>
      <c r="E61" s="3" t="s">
        <v>44</v>
      </c>
      <c r="F61" s="3" t="s">
        <v>34</v>
      </c>
      <c r="G61" s="3">
        <v>3</v>
      </c>
      <c r="H61" s="3">
        <v>95</v>
      </c>
      <c r="I61" s="3" t="s">
        <v>26</v>
      </c>
      <c r="J61" s="3" t="s">
        <v>27</v>
      </c>
      <c r="K61" s="3">
        <v>285</v>
      </c>
      <c r="N61">
        <f t="shared" si="1"/>
        <v>285</v>
      </c>
    </row>
    <row r="62" spans="1:14" x14ac:dyDescent="0.25">
      <c r="A62" s="2">
        <v>62</v>
      </c>
      <c r="B62" s="5">
        <v>46228</v>
      </c>
      <c r="C62" s="2" t="s">
        <v>41</v>
      </c>
      <c r="D62" s="2" t="s">
        <v>17</v>
      </c>
      <c r="E62" s="2" t="s">
        <v>21</v>
      </c>
      <c r="F62" s="2" t="s">
        <v>13</v>
      </c>
      <c r="G62" s="2">
        <v>7</v>
      </c>
      <c r="H62" s="2">
        <v>25</v>
      </c>
      <c r="I62" s="2" t="s">
        <v>26</v>
      </c>
      <c r="J62" s="2" t="s">
        <v>25</v>
      </c>
      <c r="K62" s="2">
        <v>175</v>
      </c>
      <c r="N62">
        <f t="shared" si="1"/>
        <v>175</v>
      </c>
    </row>
    <row r="63" spans="1:14" x14ac:dyDescent="0.25">
      <c r="A63" s="3">
        <v>63</v>
      </c>
      <c r="B63" s="6">
        <v>46167</v>
      </c>
      <c r="C63" s="3" t="s">
        <v>38</v>
      </c>
      <c r="D63" s="3" t="s">
        <v>11</v>
      </c>
      <c r="E63" s="3" t="s">
        <v>18</v>
      </c>
      <c r="F63" s="3" t="s">
        <v>13</v>
      </c>
      <c r="G63" s="3">
        <v>6</v>
      </c>
      <c r="H63" s="3">
        <v>1200</v>
      </c>
      <c r="I63" s="3" t="s">
        <v>48</v>
      </c>
      <c r="J63" s="3" t="s">
        <v>15</v>
      </c>
      <c r="K63" s="3">
        <v>7200</v>
      </c>
      <c r="N63">
        <f t="shared" si="1"/>
        <v>7200</v>
      </c>
    </row>
    <row r="64" spans="1:14" x14ac:dyDescent="0.25">
      <c r="A64" s="2">
        <v>64</v>
      </c>
      <c r="B64" s="5">
        <v>46121</v>
      </c>
      <c r="C64" s="2" t="s">
        <v>38</v>
      </c>
      <c r="D64" s="2" t="s">
        <v>11</v>
      </c>
      <c r="E64" s="2" t="s">
        <v>21</v>
      </c>
      <c r="F64" s="2" t="s">
        <v>13</v>
      </c>
      <c r="G64" s="2"/>
      <c r="H64" s="2">
        <v>25</v>
      </c>
      <c r="I64" s="2" t="s">
        <v>14</v>
      </c>
      <c r="J64" s="2" t="s">
        <v>25</v>
      </c>
      <c r="K64" s="2"/>
      <c r="N64" t="e">
        <f t="shared" si="1"/>
        <v>#DIV/0!</v>
      </c>
    </row>
    <row r="65" spans="1:14" x14ac:dyDescent="0.25">
      <c r="A65" s="3">
        <v>65</v>
      </c>
      <c r="B65" s="6">
        <v>46239</v>
      </c>
      <c r="C65" s="3" t="s">
        <v>41</v>
      </c>
      <c r="D65" s="3" t="s">
        <v>47</v>
      </c>
      <c r="E65" s="3" t="s">
        <v>12</v>
      </c>
      <c r="F65" s="3" t="s">
        <v>13</v>
      </c>
      <c r="G65" s="3"/>
      <c r="H65" s="3">
        <v>250</v>
      </c>
      <c r="I65" s="3" t="s">
        <v>40</v>
      </c>
      <c r="J65" s="3" t="s">
        <v>27</v>
      </c>
      <c r="K65" s="3"/>
      <c r="N65" t="e">
        <f t="shared" si="1"/>
        <v>#DIV/0!</v>
      </c>
    </row>
    <row r="66" spans="1:14" x14ac:dyDescent="0.25">
      <c r="A66" s="2">
        <v>66</v>
      </c>
      <c r="B66" s="5">
        <v>46109</v>
      </c>
      <c r="C66" s="2" t="s">
        <v>20</v>
      </c>
      <c r="D66" s="2" t="s">
        <v>11</v>
      </c>
      <c r="E66" s="2" t="s">
        <v>18</v>
      </c>
      <c r="F66" s="2" t="s">
        <v>13</v>
      </c>
      <c r="G66" s="2">
        <v>7</v>
      </c>
      <c r="H66" s="2">
        <v>1200</v>
      </c>
      <c r="I66" s="2" t="s">
        <v>42</v>
      </c>
      <c r="J66" s="2" t="s">
        <v>25</v>
      </c>
      <c r="K66" s="2">
        <v>8400</v>
      </c>
      <c r="N66">
        <f t="shared" ref="N66:N100" si="2">AVERAGE(K66)</f>
        <v>8400</v>
      </c>
    </row>
    <row r="67" spans="1:14" x14ac:dyDescent="0.25">
      <c r="A67" s="3">
        <v>67</v>
      </c>
      <c r="B67" s="6">
        <v>46212</v>
      </c>
      <c r="C67" s="3" t="s">
        <v>38</v>
      </c>
      <c r="D67" s="3" t="s">
        <v>17</v>
      </c>
      <c r="E67" s="3" t="s">
        <v>33</v>
      </c>
      <c r="F67" s="3" t="s">
        <v>34</v>
      </c>
      <c r="G67" s="3">
        <v>6</v>
      </c>
      <c r="H67" s="3">
        <v>180</v>
      </c>
      <c r="I67" s="3" t="s">
        <v>14</v>
      </c>
      <c r="J67" s="3" t="s">
        <v>15</v>
      </c>
      <c r="K67" s="3">
        <v>1080</v>
      </c>
      <c r="N67">
        <f t="shared" si="2"/>
        <v>1080</v>
      </c>
    </row>
    <row r="68" spans="1:14" x14ac:dyDescent="0.25">
      <c r="A68" s="2">
        <v>68</v>
      </c>
      <c r="B68" s="5">
        <v>46133</v>
      </c>
      <c r="C68" s="2" t="s">
        <v>49</v>
      </c>
      <c r="D68" s="2" t="s">
        <v>17</v>
      </c>
      <c r="E68" s="2" t="s">
        <v>18</v>
      </c>
      <c r="F68" s="2" t="s">
        <v>13</v>
      </c>
      <c r="G68" s="2">
        <v>6</v>
      </c>
      <c r="H68" s="2">
        <v>1200</v>
      </c>
      <c r="I68" s="2" t="s">
        <v>42</v>
      </c>
      <c r="J68" s="2" t="s">
        <v>27</v>
      </c>
      <c r="K68" s="2">
        <v>7200</v>
      </c>
      <c r="N68">
        <f t="shared" si="2"/>
        <v>7200</v>
      </c>
    </row>
    <row r="69" spans="1:14" x14ac:dyDescent="0.25">
      <c r="A69" s="3">
        <v>69</v>
      </c>
      <c r="B69" s="6">
        <v>46117</v>
      </c>
      <c r="C69" s="3" t="s">
        <v>20</v>
      </c>
      <c r="D69" s="3" t="s">
        <v>17</v>
      </c>
      <c r="E69" s="3" t="s">
        <v>29</v>
      </c>
      <c r="F69" s="3" t="s">
        <v>30</v>
      </c>
      <c r="G69" s="3">
        <v>3</v>
      </c>
      <c r="H69" s="3">
        <v>5</v>
      </c>
      <c r="I69" s="3" t="s">
        <v>14</v>
      </c>
      <c r="J69" s="3" t="s">
        <v>37</v>
      </c>
      <c r="K69" s="3">
        <v>15</v>
      </c>
      <c r="N69">
        <f t="shared" si="2"/>
        <v>15</v>
      </c>
    </row>
    <row r="70" spans="1:14" x14ac:dyDescent="0.25">
      <c r="A70" s="2">
        <v>70</v>
      </c>
      <c r="B70" s="5">
        <v>46315</v>
      </c>
      <c r="C70" s="2" t="s">
        <v>49</v>
      </c>
      <c r="D70" s="2" t="s">
        <v>11</v>
      </c>
      <c r="E70" s="2" t="s">
        <v>33</v>
      </c>
      <c r="F70" s="2" t="s">
        <v>34</v>
      </c>
      <c r="G70" s="2">
        <v>3</v>
      </c>
      <c r="H70" s="2">
        <v>180</v>
      </c>
      <c r="I70" s="2" t="s">
        <v>19</v>
      </c>
      <c r="J70" s="2" t="s">
        <v>37</v>
      </c>
      <c r="K70" s="2">
        <v>540</v>
      </c>
      <c r="N70">
        <f t="shared" si="2"/>
        <v>540</v>
      </c>
    </row>
    <row r="71" spans="1:14" x14ac:dyDescent="0.25">
      <c r="A71" s="3">
        <v>71</v>
      </c>
      <c r="B71" s="6">
        <v>46226</v>
      </c>
      <c r="C71" s="3" t="s">
        <v>43</v>
      </c>
      <c r="D71" s="3" t="s">
        <v>17</v>
      </c>
      <c r="E71" s="3" t="s">
        <v>29</v>
      </c>
      <c r="F71" s="3" t="s">
        <v>30</v>
      </c>
      <c r="G71" s="3">
        <v>7</v>
      </c>
      <c r="H71" s="3">
        <v>5</v>
      </c>
      <c r="I71" s="3"/>
      <c r="J71" s="3" t="s">
        <v>27</v>
      </c>
      <c r="K71" s="3">
        <v>35</v>
      </c>
      <c r="N71">
        <f t="shared" si="2"/>
        <v>35</v>
      </c>
    </row>
    <row r="72" spans="1:14" x14ac:dyDescent="0.25">
      <c r="A72" s="2">
        <v>72</v>
      </c>
      <c r="B72" s="5">
        <v>46346</v>
      </c>
      <c r="C72" s="2" t="s">
        <v>49</v>
      </c>
      <c r="D72" s="2" t="s">
        <v>47</v>
      </c>
      <c r="E72" s="2" t="s">
        <v>12</v>
      </c>
      <c r="F72" s="2" t="s">
        <v>13</v>
      </c>
      <c r="G72" s="2">
        <v>5</v>
      </c>
      <c r="H72" s="2">
        <v>250</v>
      </c>
      <c r="I72" s="2" t="s">
        <v>26</v>
      </c>
      <c r="J72" s="2" t="s">
        <v>37</v>
      </c>
      <c r="K72" s="2">
        <v>1250</v>
      </c>
      <c r="N72">
        <f t="shared" si="2"/>
        <v>1250</v>
      </c>
    </row>
    <row r="73" spans="1:14" x14ac:dyDescent="0.25">
      <c r="A73" s="3">
        <v>73</v>
      </c>
      <c r="B73" s="6">
        <v>46337</v>
      </c>
      <c r="C73" s="3" t="s">
        <v>16</v>
      </c>
      <c r="D73" s="3" t="s">
        <v>11</v>
      </c>
      <c r="E73" s="3" t="s">
        <v>18</v>
      </c>
      <c r="F73" s="3" t="s">
        <v>13</v>
      </c>
      <c r="G73" s="3">
        <v>9</v>
      </c>
      <c r="H73" s="3">
        <v>1200</v>
      </c>
      <c r="I73" s="3" t="s">
        <v>35</v>
      </c>
      <c r="J73" s="3" t="s">
        <v>25</v>
      </c>
      <c r="K73" s="3">
        <v>10800</v>
      </c>
      <c r="N73">
        <f t="shared" si="2"/>
        <v>10800</v>
      </c>
    </row>
    <row r="74" spans="1:14" x14ac:dyDescent="0.25">
      <c r="A74" s="2">
        <v>74</v>
      </c>
      <c r="B74" s="5">
        <v>46209</v>
      </c>
      <c r="C74" s="2" t="s">
        <v>36</v>
      </c>
      <c r="D74" s="2" t="s">
        <v>17</v>
      </c>
      <c r="E74" s="2" t="s">
        <v>12</v>
      </c>
      <c r="F74" s="2" t="s">
        <v>13</v>
      </c>
      <c r="G74" s="2">
        <v>3</v>
      </c>
      <c r="H74" s="2">
        <v>250</v>
      </c>
      <c r="I74" s="2" t="s">
        <v>48</v>
      </c>
      <c r="J74" s="2" t="s">
        <v>25</v>
      </c>
      <c r="K74" s="2">
        <v>750</v>
      </c>
      <c r="N74">
        <f t="shared" si="2"/>
        <v>750</v>
      </c>
    </row>
    <row r="75" spans="1:14" x14ac:dyDescent="0.25">
      <c r="A75" s="3">
        <v>75</v>
      </c>
      <c r="B75" s="6">
        <v>46375</v>
      </c>
      <c r="C75" s="3" t="s">
        <v>10</v>
      </c>
      <c r="D75" s="3" t="s">
        <v>17</v>
      </c>
      <c r="E75" s="3" t="s">
        <v>44</v>
      </c>
      <c r="F75" s="3" t="s">
        <v>34</v>
      </c>
      <c r="G75" s="3">
        <v>7</v>
      </c>
      <c r="H75" s="3">
        <v>95</v>
      </c>
      <c r="I75" s="3" t="s">
        <v>19</v>
      </c>
      <c r="J75" s="3" t="s">
        <v>37</v>
      </c>
      <c r="K75" s="3">
        <v>665</v>
      </c>
      <c r="N75">
        <f t="shared" si="2"/>
        <v>665</v>
      </c>
    </row>
    <row r="76" spans="1:14" x14ac:dyDescent="0.25">
      <c r="A76" s="2">
        <v>76</v>
      </c>
      <c r="B76" s="5">
        <v>46253</v>
      </c>
      <c r="C76" s="2" t="s">
        <v>41</v>
      </c>
      <c r="D76" s="2" t="s">
        <v>11</v>
      </c>
      <c r="E76" s="2" t="s">
        <v>44</v>
      </c>
      <c r="F76" s="2" t="s">
        <v>34</v>
      </c>
      <c r="G76" s="2">
        <v>4</v>
      </c>
      <c r="H76" s="2">
        <v>95</v>
      </c>
      <c r="I76" s="2" t="s">
        <v>35</v>
      </c>
      <c r="J76" s="2" t="s">
        <v>23</v>
      </c>
      <c r="K76" s="2">
        <v>380</v>
      </c>
      <c r="N76">
        <f t="shared" si="2"/>
        <v>380</v>
      </c>
    </row>
    <row r="77" spans="1:14" x14ac:dyDescent="0.25">
      <c r="A77" s="3">
        <v>77</v>
      </c>
      <c r="B77" s="6">
        <v>46199</v>
      </c>
      <c r="C77" s="3" t="s">
        <v>10</v>
      </c>
      <c r="D77" s="3" t="s">
        <v>17</v>
      </c>
      <c r="E77" s="3" t="s">
        <v>44</v>
      </c>
      <c r="F77" s="3" t="s">
        <v>34</v>
      </c>
      <c r="G77" s="3">
        <v>4</v>
      </c>
      <c r="H77" s="3">
        <v>95</v>
      </c>
      <c r="I77" s="3" t="s">
        <v>35</v>
      </c>
      <c r="J77" s="3" t="s">
        <v>15</v>
      </c>
      <c r="K77" s="3">
        <v>380</v>
      </c>
      <c r="N77">
        <f t="shared" si="2"/>
        <v>380</v>
      </c>
    </row>
    <row r="78" spans="1:14" x14ac:dyDescent="0.25">
      <c r="A78" s="2">
        <v>78</v>
      </c>
      <c r="B78" s="5">
        <v>46115</v>
      </c>
      <c r="C78" s="2" t="s">
        <v>43</v>
      </c>
      <c r="D78" s="2" t="s">
        <v>11</v>
      </c>
      <c r="E78" s="2" t="s">
        <v>18</v>
      </c>
      <c r="F78" s="2" t="s">
        <v>13</v>
      </c>
      <c r="G78" s="2">
        <v>9</v>
      </c>
      <c r="H78" s="2">
        <v>1200</v>
      </c>
      <c r="I78" s="2" t="s">
        <v>14</v>
      </c>
      <c r="J78" s="2" t="s">
        <v>25</v>
      </c>
      <c r="K78" s="2">
        <v>10800</v>
      </c>
      <c r="N78">
        <f t="shared" si="2"/>
        <v>10800</v>
      </c>
    </row>
    <row r="79" spans="1:14" x14ac:dyDescent="0.25">
      <c r="A79" s="3">
        <v>79</v>
      </c>
      <c r="B79" s="6">
        <v>46260</v>
      </c>
      <c r="C79" s="3" t="s">
        <v>16</v>
      </c>
      <c r="D79" s="3" t="s">
        <v>17</v>
      </c>
      <c r="E79" s="3" t="s">
        <v>12</v>
      </c>
      <c r="F79" s="3" t="s">
        <v>13</v>
      </c>
      <c r="G79" s="3">
        <v>8</v>
      </c>
      <c r="H79" s="3">
        <v>250</v>
      </c>
      <c r="I79" s="3" t="s">
        <v>42</v>
      </c>
      <c r="J79" s="3" t="s">
        <v>37</v>
      </c>
      <c r="K79" s="3">
        <v>2000</v>
      </c>
      <c r="N79">
        <f t="shared" si="2"/>
        <v>2000</v>
      </c>
    </row>
    <row r="80" spans="1:14" x14ac:dyDescent="0.25">
      <c r="A80" s="2">
        <v>80</v>
      </c>
      <c r="B80" s="5">
        <v>46189</v>
      </c>
      <c r="C80" s="2" t="s">
        <v>36</v>
      </c>
      <c r="D80" s="2" t="s">
        <v>47</v>
      </c>
      <c r="E80" s="2" t="s">
        <v>12</v>
      </c>
      <c r="F80" s="2" t="s">
        <v>13</v>
      </c>
      <c r="G80" s="2">
        <v>10</v>
      </c>
      <c r="H80" s="2">
        <v>250</v>
      </c>
      <c r="I80" s="2" t="s">
        <v>40</v>
      </c>
      <c r="J80" s="2" t="s">
        <v>37</v>
      </c>
      <c r="K80" s="2">
        <v>2500</v>
      </c>
      <c r="N80">
        <f t="shared" si="2"/>
        <v>2500</v>
      </c>
    </row>
    <row r="81" spans="1:14" x14ac:dyDescent="0.25">
      <c r="A81" s="3">
        <v>81</v>
      </c>
      <c r="B81" s="6">
        <v>46096</v>
      </c>
      <c r="C81" s="3" t="s">
        <v>10</v>
      </c>
      <c r="D81" s="3" t="s">
        <v>11</v>
      </c>
      <c r="E81" s="3" t="s">
        <v>33</v>
      </c>
      <c r="F81" s="3" t="s">
        <v>34</v>
      </c>
      <c r="G81" s="3">
        <v>8</v>
      </c>
      <c r="H81" s="3">
        <v>180</v>
      </c>
      <c r="I81" s="3" t="s">
        <v>19</v>
      </c>
      <c r="J81" s="3" t="s">
        <v>15</v>
      </c>
      <c r="K81" s="3">
        <v>1440</v>
      </c>
      <c r="N81">
        <f t="shared" si="2"/>
        <v>1440</v>
      </c>
    </row>
    <row r="82" spans="1:14" x14ac:dyDescent="0.25">
      <c r="A82" s="2">
        <v>82</v>
      </c>
      <c r="B82" s="5">
        <v>46119</v>
      </c>
      <c r="C82" s="2" t="s">
        <v>20</v>
      </c>
      <c r="D82" s="2" t="s">
        <v>17</v>
      </c>
      <c r="E82" s="2" t="s">
        <v>12</v>
      </c>
      <c r="F82" s="2" t="s">
        <v>13</v>
      </c>
      <c r="G82" s="2">
        <v>3</v>
      </c>
      <c r="H82" s="2">
        <v>250</v>
      </c>
      <c r="I82" s="2" t="s">
        <v>40</v>
      </c>
      <c r="J82" s="2" t="s">
        <v>15</v>
      </c>
      <c r="K82" s="2">
        <v>750</v>
      </c>
      <c r="N82">
        <f t="shared" si="2"/>
        <v>750</v>
      </c>
    </row>
    <row r="83" spans="1:14" x14ac:dyDescent="0.25">
      <c r="A83" s="3">
        <v>83</v>
      </c>
      <c r="B83" s="6">
        <v>46122</v>
      </c>
      <c r="C83" s="3" t="s">
        <v>43</v>
      </c>
      <c r="D83" s="3" t="s">
        <v>17</v>
      </c>
      <c r="E83" s="3" t="s">
        <v>33</v>
      </c>
      <c r="F83" s="3" t="s">
        <v>34</v>
      </c>
      <c r="G83" s="3">
        <v>2</v>
      </c>
      <c r="H83" s="3"/>
      <c r="I83" s="3" t="s">
        <v>40</v>
      </c>
      <c r="J83" s="3" t="s">
        <v>23</v>
      </c>
      <c r="K83" s="3"/>
      <c r="N83" t="e">
        <f t="shared" si="2"/>
        <v>#DIV/0!</v>
      </c>
    </row>
    <row r="84" spans="1:14" x14ac:dyDescent="0.25">
      <c r="A84" s="2">
        <v>84</v>
      </c>
      <c r="B84" s="5">
        <v>46040</v>
      </c>
      <c r="C84" s="2" t="s">
        <v>10</v>
      </c>
      <c r="D84" s="2" t="s">
        <v>11</v>
      </c>
      <c r="E84" s="2" t="s">
        <v>33</v>
      </c>
      <c r="F84" s="2" t="s">
        <v>34</v>
      </c>
      <c r="G84" s="2">
        <v>1</v>
      </c>
      <c r="H84" s="2">
        <v>180</v>
      </c>
      <c r="I84" s="2" t="s">
        <v>19</v>
      </c>
      <c r="J84" s="2" t="s">
        <v>27</v>
      </c>
      <c r="K84" s="2">
        <v>180</v>
      </c>
      <c r="N84">
        <f t="shared" si="2"/>
        <v>180</v>
      </c>
    </row>
    <row r="85" spans="1:14" x14ac:dyDescent="0.25">
      <c r="A85" s="3">
        <v>85</v>
      </c>
      <c r="B85" s="6">
        <v>46250</v>
      </c>
      <c r="C85" s="3" t="s">
        <v>20</v>
      </c>
      <c r="D85" s="3" t="s">
        <v>17</v>
      </c>
      <c r="E85" s="3" t="s">
        <v>29</v>
      </c>
      <c r="F85" s="3" t="s">
        <v>30</v>
      </c>
      <c r="G85" s="3">
        <v>5</v>
      </c>
      <c r="H85" s="3">
        <v>5</v>
      </c>
      <c r="I85" s="3" t="s">
        <v>48</v>
      </c>
      <c r="J85" s="3" t="s">
        <v>25</v>
      </c>
      <c r="K85" s="3">
        <v>25</v>
      </c>
      <c r="N85">
        <f t="shared" si="2"/>
        <v>25</v>
      </c>
    </row>
    <row r="86" spans="1:14" x14ac:dyDescent="0.25">
      <c r="A86" s="2">
        <v>86</v>
      </c>
      <c r="B86" s="5">
        <v>46219</v>
      </c>
      <c r="C86" s="2" t="s">
        <v>49</v>
      </c>
      <c r="D86" s="2" t="s">
        <v>47</v>
      </c>
      <c r="E86" s="2" t="s">
        <v>18</v>
      </c>
      <c r="F86" s="2" t="s">
        <v>13</v>
      </c>
      <c r="G86" s="2">
        <v>2</v>
      </c>
      <c r="H86" s="2">
        <v>1200</v>
      </c>
      <c r="I86" s="2" t="s">
        <v>42</v>
      </c>
      <c r="J86" s="2" t="s">
        <v>15</v>
      </c>
      <c r="K86" s="2">
        <v>2400</v>
      </c>
      <c r="N86">
        <f t="shared" si="2"/>
        <v>2400</v>
      </c>
    </row>
    <row r="87" spans="1:14" x14ac:dyDescent="0.25">
      <c r="A87" s="3">
        <v>87</v>
      </c>
      <c r="B87" s="6">
        <v>46116</v>
      </c>
      <c r="C87" s="3" t="s">
        <v>36</v>
      </c>
      <c r="D87" s="3" t="s">
        <v>11</v>
      </c>
      <c r="E87" s="3" t="s">
        <v>33</v>
      </c>
      <c r="F87" s="3" t="s">
        <v>34</v>
      </c>
      <c r="G87" s="3">
        <v>2</v>
      </c>
      <c r="H87" s="3">
        <v>180</v>
      </c>
      <c r="I87" s="3" t="s">
        <v>42</v>
      </c>
      <c r="J87" s="3" t="s">
        <v>15</v>
      </c>
      <c r="K87" s="3">
        <v>360</v>
      </c>
      <c r="N87">
        <f t="shared" si="2"/>
        <v>360</v>
      </c>
    </row>
    <row r="88" spans="1:14" x14ac:dyDescent="0.25">
      <c r="A88" s="2">
        <v>88</v>
      </c>
      <c r="B88" s="5">
        <v>46244</v>
      </c>
      <c r="C88" s="2" t="s">
        <v>41</v>
      </c>
      <c r="D88" s="2" t="s">
        <v>11</v>
      </c>
      <c r="E88" s="2" t="s">
        <v>44</v>
      </c>
      <c r="F88" s="2" t="s">
        <v>34</v>
      </c>
      <c r="G88" s="2">
        <v>8</v>
      </c>
      <c r="H88" s="2">
        <v>95</v>
      </c>
      <c r="I88" s="2" t="s">
        <v>40</v>
      </c>
      <c r="J88" s="2" t="s">
        <v>27</v>
      </c>
      <c r="K88" s="2">
        <v>760</v>
      </c>
      <c r="N88">
        <f t="shared" si="2"/>
        <v>760</v>
      </c>
    </row>
    <row r="89" spans="1:14" x14ac:dyDescent="0.25">
      <c r="A89" s="3">
        <v>89</v>
      </c>
      <c r="B89" s="6">
        <v>46164</v>
      </c>
      <c r="C89" s="3" t="s">
        <v>49</v>
      </c>
      <c r="D89" s="3" t="s">
        <v>11</v>
      </c>
      <c r="E89" s="3" t="s">
        <v>21</v>
      </c>
      <c r="F89" s="3" t="s">
        <v>13</v>
      </c>
      <c r="G89" s="3">
        <v>4</v>
      </c>
      <c r="H89" s="3">
        <v>25</v>
      </c>
      <c r="I89" s="3" t="s">
        <v>42</v>
      </c>
      <c r="J89" s="3" t="s">
        <v>27</v>
      </c>
      <c r="K89" s="3">
        <v>100</v>
      </c>
      <c r="N89">
        <f t="shared" si="2"/>
        <v>100</v>
      </c>
    </row>
    <row r="90" spans="1:14" x14ac:dyDescent="0.25">
      <c r="A90" s="2">
        <v>90</v>
      </c>
      <c r="B90" s="5">
        <v>46376</v>
      </c>
      <c r="C90" s="2" t="s">
        <v>20</v>
      </c>
      <c r="D90" s="2" t="s">
        <v>17</v>
      </c>
      <c r="E90" s="2" t="s">
        <v>44</v>
      </c>
      <c r="F90" s="2" t="s">
        <v>34</v>
      </c>
      <c r="G90" s="2"/>
      <c r="H90" s="2">
        <v>95</v>
      </c>
      <c r="I90" s="2" t="s">
        <v>35</v>
      </c>
      <c r="J90" s="2" t="s">
        <v>25</v>
      </c>
      <c r="K90" s="2"/>
      <c r="N90" t="e">
        <f t="shared" si="2"/>
        <v>#DIV/0!</v>
      </c>
    </row>
    <row r="91" spans="1:14" x14ac:dyDescent="0.25">
      <c r="A91" s="3">
        <v>91</v>
      </c>
      <c r="B91" s="6">
        <v>46168</v>
      </c>
      <c r="C91" s="3" t="s">
        <v>41</v>
      </c>
      <c r="D91" s="3" t="s">
        <v>11</v>
      </c>
      <c r="E91" s="3" t="s">
        <v>18</v>
      </c>
      <c r="F91" s="3" t="s">
        <v>13</v>
      </c>
      <c r="G91" s="3">
        <v>4</v>
      </c>
      <c r="H91" s="3">
        <v>1200</v>
      </c>
      <c r="I91" s="3" t="s">
        <v>14</v>
      </c>
      <c r="J91" s="3" t="s">
        <v>23</v>
      </c>
      <c r="K91" s="3">
        <v>4800</v>
      </c>
      <c r="N91">
        <f t="shared" si="2"/>
        <v>4800</v>
      </c>
    </row>
    <row r="92" spans="1:14" x14ac:dyDescent="0.25">
      <c r="A92" s="2">
        <v>92</v>
      </c>
      <c r="B92" s="5">
        <v>46055</v>
      </c>
      <c r="C92" s="2" t="s">
        <v>24</v>
      </c>
      <c r="D92" s="2" t="s">
        <v>17</v>
      </c>
      <c r="E92" s="2" t="s">
        <v>33</v>
      </c>
      <c r="F92" s="2" t="s">
        <v>34</v>
      </c>
      <c r="G92" s="2">
        <v>3</v>
      </c>
      <c r="H92" s="2">
        <v>180</v>
      </c>
      <c r="I92" s="2" t="s">
        <v>35</v>
      </c>
      <c r="J92" s="2" t="s">
        <v>25</v>
      </c>
      <c r="K92" s="2">
        <v>540</v>
      </c>
      <c r="N92">
        <f t="shared" si="2"/>
        <v>540</v>
      </c>
    </row>
    <row r="93" spans="1:14" x14ac:dyDescent="0.25">
      <c r="A93" s="3">
        <v>93</v>
      </c>
      <c r="B93" s="6">
        <v>46366</v>
      </c>
      <c r="C93" s="3" t="s">
        <v>38</v>
      </c>
      <c r="D93" s="3" t="s">
        <v>17</v>
      </c>
      <c r="E93" s="3" t="s">
        <v>18</v>
      </c>
      <c r="F93" s="3" t="s">
        <v>13</v>
      </c>
      <c r="G93" s="3">
        <v>8</v>
      </c>
      <c r="H93" s="3">
        <v>1200</v>
      </c>
      <c r="I93" s="3" t="s">
        <v>19</v>
      </c>
      <c r="J93" s="3" t="s">
        <v>15</v>
      </c>
      <c r="K93" s="3">
        <v>9600</v>
      </c>
      <c r="N93">
        <f t="shared" si="2"/>
        <v>9600</v>
      </c>
    </row>
    <row r="94" spans="1:14" x14ac:dyDescent="0.25">
      <c r="A94" s="2">
        <v>94</v>
      </c>
      <c r="B94" s="5">
        <v>46367</v>
      </c>
      <c r="C94" s="2" t="s">
        <v>41</v>
      </c>
      <c r="D94" s="2" t="s">
        <v>17</v>
      </c>
      <c r="E94" s="2" t="s">
        <v>18</v>
      </c>
      <c r="F94" s="2" t="s">
        <v>13</v>
      </c>
      <c r="G94" s="2"/>
      <c r="H94" s="2">
        <v>1200</v>
      </c>
      <c r="I94" s="2" t="s">
        <v>14</v>
      </c>
      <c r="J94" s="2" t="s">
        <v>15</v>
      </c>
      <c r="K94" s="2"/>
      <c r="N94" t="e">
        <f t="shared" si="2"/>
        <v>#DIV/0!</v>
      </c>
    </row>
    <row r="95" spans="1:14" x14ac:dyDescent="0.25">
      <c r="A95" s="3">
        <v>95</v>
      </c>
      <c r="B95" s="6">
        <v>46353</v>
      </c>
      <c r="C95" s="3" t="s">
        <v>10</v>
      </c>
      <c r="D95" s="3" t="s">
        <v>47</v>
      </c>
      <c r="E95" s="3" t="s">
        <v>29</v>
      </c>
      <c r="F95" s="3" t="s">
        <v>30</v>
      </c>
      <c r="G95" s="3"/>
      <c r="H95" s="3">
        <v>5</v>
      </c>
      <c r="I95" s="3" t="s">
        <v>26</v>
      </c>
      <c r="J95" s="3" t="s">
        <v>15</v>
      </c>
      <c r="K95" s="3"/>
      <c r="N95" t="e">
        <f t="shared" si="2"/>
        <v>#DIV/0!</v>
      </c>
    </row>
    <row r="96" spans="1:14" x14ac:dyDescent="0.25">
      <c r="A96" s="2">
        <v>96</v>
      </c>
      <c r="B96" s="5">
        <v>46148</v>
      </c>
      <c r="C96" s="2" t="s">
        <v>41</v>
      </c>
      <c r="D96" s="2" t="s">
        <v>11</v>
      </c>
      <c r="E96" s="2" t="s">
        <v>12</v>
      </c>
      <c r="F96" s="2" t="s">
        <v>13</v>
      </c>
      <c r="G96" s="2">
        <v>8</v>
      </c>
      <c r="H96" s="2">
        <v>250</v>
      </c>
      <c r="I96" s="2" t="s">
        <v>19</v>
      </c>
      <c r="J96" s="2" t="s">
        <v>25</v>
      </c>
      <c r="K96" s="2">
        <v>2000</v>
      </c>
      <c r="N96">
        <f t="shared" si="2"/>
        <v>2000</v>
      </c>
    </row>
    <row r="97" spans="1:14" x14ac:dyDescent="0.25">
      <c r="A97" s="3">
        <v>97</v>
      </c>
      <c r="B97" s="6">
        <v>46184</v>
      </c>
      <c r="C97" s="3" t="s">
        <v>49</v>
      </c>
      <c r="D97" s="3" t="s">
        <v>11</v>
      </c>
      <c r="E97" s="3" t="s">
        <v>33</v>
      </c>
      <c r="F97" s="3" t="s">
        <v>34</v>
      </c>
      <c r="G97" s="3">
        <v>7</v>
      </c>
      <c r="H97" s="3">
        <v>180</v>
      </c>
      <c r="I97" s="3" t="s">
        <v>35</v>
      </c>
      <c r="J97" s="3" t="s">
        <v>25</v>
      </c>
      <c r="K97" s="3">
        <v>1260</v>
      </c>
      <c r="N97">
        <f t="shared" si="2"/>
        <v>1260</v>
      </c>
    </row>
    <row r="98" spans="1:14" x14ac:dyDescent="0.25">
      <c r="A98" s="2">
        <v>98</v>
      </c>
      <c r="B98" s="5">
        <v>46237</v>
      </c>
      <c r="C98" s="2" t="s">
        <v>28</v>
      </c>
      <c r="D98" s="2" t="s">
        <v>17</v>
      </c>
      <c r="E98" s="2" t="s">
        <v>29</v>
      </c>
      <c r="F98" s="2" t="s">
        <v>30</v>
      </c>
      <c r="G98" s="2">
        <v>1</v>
      </c>
      <c r="H98" s="2">
        <v>5</v>
      </c>
      <c r="I98" s="2" t="s">
        <v>26</v>
      </c>
      <c r="J98" s="2" t="s">
        <v>15</v>
      </c>
      <c r="K98" s="2">
        <v>5</v>
      </c>
      <c r="N98">
        <f t="shared" si="2"/>
        <v>5</v>
      </c>
    </row>
    <row r="99" spans="1:14" x14ac:dyDescent="0.25">
      <c r="A99" s="3">
        <v>99</v>
      </c>
      <c r="B99" s="6">
        <v>46248</v>
      </c>
      <c r="C99" s="3" t="s">
        <v>16</v>
      </c>
      <c r="D99" s="3" t="s">
        <v>11</v>
      </c>
      <c r="E99" s="3" t="s">
        <v>18</v>
      </c>
      <c r="F99" s="3" t="s">
        <v>13</v>
      </c>
      <c r="G99" s="3">
        <v>9</v>
      </c>
      <c r="H99" s="3">
        <v>1200</v>
      </c>
      <c r="I99" s="3" t="s">
        <v>26</v>
      </c>
      <c r="J99" s="3" t="s">
        <v>25</v>
      </c>
      <c r="K99" s="3">
        <v>10800</v>
      </c>
      <c r="N99">
        <f t="shared" si="2"/>
        <v>10800</v>
      </c>
    </row>
    <row r="100" spans="1:14" x14ac:dyDescent="0.25">
      <c r="A100" s="12">
        <v>100</v>
      </c>
      <c r="B100" s="13">
        <v>46160</v>
      </c>
      <c r="C100" s="12" t="s">
        <v>24</v>
      </c>
      <c r="D100" s="12" t="s">
        <v>17</v>
      </c>
      <c r="E100" s="12" t="s">
        <v>18</v>
      </c>
      <c r="F100" s="12" t="s">
        <v>13</v>
      </c>
      <c r="G100" s="12">
        <v>4</v>
      </c>
      <c r="H100" s="12">
        <v>1200</v>
      </c>
      <c r="I100" s="12" t="s">
        <v>19</v>
      </c>
      <c r="J100" s="12" t="s">
        <v>27</v>
      </c>
      <c r="K100" s="12">
        <v>4800</v>
      </c>
      <c r="N100">
        <f t="shared" si="2"/>
        <v>4800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FCA1-1A51-4BA3-9AA3-80C7154585CA}">
  <dimension ref="A3:B10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15" t="s">
        <v>56</v>
      </c>
      <c r="B3" t="s">
        <v>58</v>
      </c>
    </row>
    <row r="4" spans="1:2" x14ac:dyDescent="0.25">
      <c r="A4" s="16" t="s">
        <v>44</v>
      </c>
      <c r="B4">
        <v>3895</v>
      </c>
    </row>
    <row r="5" spans="1:2" x14ac:dyDescent="0.25">
      <c r="A5" s="16" t="s">
        <v>33</v>
      </c>
      <c r="B5">
        <v>14220</v>
      </c>
    </row>
    <row r="6" spans="1:2" x14ac:dyDescent="0.25">
      <c r="A6" s="16" t="s">
        <v>18</v>
      </c>
      <c r="B6">
        <v>157200</v>
      </c>
    </row>
    <row r="7" spans="1:2" x14ac:dyDescent="0.25">
      <c r="A7" s="16" t="s">
        <v>21</v>
      </c>
      <c r="B7">
        <v>1800</v>
      </c>
    </row>
    <row r="8" spans="1:2" x14ac:dyDescent="0.25">
      <c r="A8" s="16" t="s">
        <v>29</v>
      </c>
      <c r="B8">
        <v>340</v>
      </c>
    </row>
    <row r="9" spans="1:2" x14ac:dyDescent="0.25">
      <c r="A9" s="16" t="s">
        <v>12</v>
      </c>
      <c r="B9">
        <v>22250</v>
      </c>
    </row>
    <row r="10" spans="1:2" x14ac:dyDescent="0.25">
      <c r="A10" s="16" t="s">
        <v>57</v>
      </c>
      <c r="B10">
        <v>199705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8216-F9B0-4829-8E1D-CFD55843B633}">
  <dimension ref="A3:B12"/>
  <sheetViews>
    <sheetView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15" t="s">
        <v>56</v>
      </c>
      <c r="B3" t="s">
        <v>58</v>
      </c>
    </row>
    <row r="4" spans="1:2" x14ac:dyDescent="0.25">
      <c r="A4" s="16" t="s">
        <v>48</v>
      </c>
      <c r="B4" s="17">
        <v>17155</v>
      </c>
    </row>
    <row r="5" spans="1:2" x14ac:dyDescent="0.25">
      <c r="A5" s="16" t="s">
        <v>26</v>
      </c>
      <c r="B5" s="17">
        <v>38055</v>
      </c>
    </row>
    <row r="6" spans="1:2" x14ac:dyDescent="0.25">
      <c r="A6" s="16" t="s">
        <v>19</v>
      </c>
      <c r="B6" s="17">
        <v>40290</v>
      </c>
    </row>
    <row r="7" spans="1:2" x14ac:dyDescent="0.25">
      <c r="A7" s="16" t="s">
        <v>14</v>
      </c>
      <c r="B7" s="17">
        <v>18505</v>
      </c>
    </row>
    <row r="8" spans="1:2" x14ac:dyDescent="0.25">
      <c r="A8" s="16" t="s">
        <v>42</v>
      </c>
      <c r="B8" s="17">
        <v>30700</v>
      </c>
    </row>
    <row r="9" spans="1:2" x14ac:dyDescent="0.25">
      <c r="A9" s="16" t="s">
        <v>35</v>
      </c>
      <c r="B9" s="17">
        <v>25130</v>
      </c>
    </row>
    <row r="10" spans="1:2" x14ac:dyDescent="0.25">
      <c r="A10" s="16" t="s">
        <v>40</v>
      </c>
      <c r="B10" s="17">
        <v>29835</v>
      </c>
    </row>
    <row r="11" spans="1:2" x14ac:dyDescent="0.25">
      <c r="A11" s="16" t="s">
        <v>60</v>
      </c>
      <c r="B11" s="17">
        <v>35</v>
      </c>
    </row>
    <row r="12" spans="1:2" x14ac:dyDescent="0.25">
      <c r="A12" s="16" t="s">
        <v>57</v>
      </c>
      <c r="B12" s="17">
        <v>199705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C859-AB41-4186-B01D-E420022705B1}">
  <dimension ref="A3:B7"/>
  <sheetViews>
    <sheetView workbookViewId="0">
      <selection activeCell="N16" sqref="N16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15" t="s">
        <v>56</v>
      </c>
      <c r="B3" t="s">
        <v>58</v>
      </c>
    </row>
    <row r="4" spans="1:2" x14ac:dyDescent="0.25">
      <c r="A4" s="16" t="s">
        <v>11</v>
      </c>
      <c r="B4" s="17">
        <v>110105</v>
      </c>
    </row>
    <row r="5" spans="1:2" x14ac:dyDescent="0.25">
      <c r="A5" s="16" t="s">
        <v>17</v>
      </c>
      <c r="B5" s="17">
        <v>79230</v>
      </c>
    </row>
    <row r="6" spans="1:2" x14ac:dyDescent="0.25">
      <c r="A6" s="16" t="s">
        <v>47</v>
      </c>
      <c r="B6" s="17">
        <v>10370</v>
      </c>
    </row>
    <row r="7" spans="1:2" x14ac:dyDescent="0.25">
      <c r="A7" s="16" t="s">
        <v>57</v>
      </c>
      <c r="B7" s="17">
        <v>199705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82B9-6B1A-4F21-B89F-12DCF9477792}">
  <dimension ref="A1"/>
  <sheetViews>
    <sheetView showGridLines="0" topLeftCell="H1" workbookViewId="0">
      <selection activeCell="R9" sqref="R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8B4C70-30F5-4828-B792-FD3770713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messy_sales_dataset_100_records</vt:lpstr>
      <vt:lpstr>Clean Data Analysis Project</vt:lpstr>
      <vt:lpstr>Data Analysis</vt:lpstr>
      <vt:lpstr>Total Sales By Product Category</vt:lpstr>
      <vt:lpstr>Total Sales By City</vt:lpstr>
      <vt:lpstr>Total Sales By Gender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2026-09-30T21:07:13Z</dcterms:created>
  <dcterms:modified xsi:type="dcterms:W3CDTF">2026-10-01T09:30:56Z</dcterms:modified>
</cp:coreProperties>
</file>